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<sst xmlns="http://schemas.openxmlformats.org/spreadsheetml/2006/main" count="1067" uniqueCount="226">
  <si>
    <t xml:space="preserve">🚚   SUPPLY CHAIN ANALYTICS DASHBOARD   |   Beauty &amp; Personal Care  ·  India Operations  ·  100 SKUs  ·  FY 2024</t>
  </si>
  <si>
    <t xml:space="preserve">💰 Total Revenue</t>
  </si>
  <si>
    <t xml:space="preserve">🛒 Units Sold</t>
  </si>
  <si>
    <t xml:space="preserve">📦 Total Stock</t>
  </si>
  <si>
    <t xml:space="preserve">⏱ Avg Lead Time</t>
  </si>
  <si>
    <t xml:space="preserve">🚚 Avg Ship Time</t>
  </si>
  <si>
    <t xml:space="preserve">⚠️ Avg Defect %</t>
  </si>
  <si>
    <t xml:space="preserve">₹577,605</t>
  </si>
  <si>
    <t xml:space="preserve">46,099</t>
  </si>
  <si>
    <t xml:space="preserve">4,777 units</t>
  </si>
  <si>
    <t xml:space="preserve">16.0 days</t>
  </si>
  <si>
    <t xml:space="preserve">5.8 days</t>
  </si>
  <si>
    <t xml:space="preserve">2.28%</t>
  </si>
  <si>
    <t xml:space="preserve">✅ QC Pass Rate</t>
  </si>
  <si>
    <t xml:space="preserve">❌ QC Fail Rate</t>
  </si>
  <si>
    <t xml:space="preserve">💸 Total Op Cost</t>
  </si>
  <si>
    <t xml:space="preserve">🏭 Avg Mfg Cost</t>
  </si>
  <si>
    <t xml:space="preserve">📋 Active SKUs</t>
  </si>
  <si>
    <t xml:space="preserve">🤝 Suppliers</t>
  </si>
  <si>
    <t xml:space="preserve">23%</t>
  </si>
  <si>
    <t xml:space="preserve">36%</t>
  </si>
  <si>
    <t xml:space="preserve">₹52,925</t>
  </si>
  <si>
    <t xml:space="preserve">₹47.3</t>
  </si>
  <si>
    <t xml:space="preserve">100</t>
  </si>
  <si>
    <t xml:space="preserve">5</t>
  </si>
  <si>
    <t xml:space="preserve">  📈  KEY CHARTS   |   Revenue  ·  Inventory  ·  Logistics  ·  Supplier  ·  Inspection</t>
  </si>
  <si>
    <t xml:space="preserve">Category</t>
  </si>
  <si>
    <t xml:space="preserve">Revenue (₹)</t>
  </si>
  <si>
    <t xml:space="preserve">% Share</t>
  </si>
  <si>
    <t xml:space="preserve">City</t>
  </si>
  <si>
    <t xml:space="preserve">Transport</t>
  </si>
  <si>
    <t xml:space="preserve">Units</t>
  </si>
  <si>
    <t xml:space="preserve">QC Status</t>
  </si>
  <si>
    <t xml:space="preserve">Count</t>
  </si>
  <si>
    <t xml:space="preserve">Supplier</t>
  </si>
  <si>
    <t xml:space="preserve">Avg Defect %</t>
  </si>
  <si>
    <t xml:space="preserve">Carrier</t>
  </si>
  <si>
    <t xml:space="preserve">Ship Cost (₹)</t>
  </si>
  <si>
    <t xml:space="preserve">cosmetics</t>
  </si>
  <si>
    <t xml:space="preserve">28.0%</t>
  </si>
  <si>
    <t xml:space="preserve">Bangalore</t>
  </si>
  <si>
    <t xml:space="preserve">17.8%</t>
  </si>
  <si>
    <t xml:space="preserve">Air</t>
  </si>
  <si>
    <t xml:space="preserve">23.6%</t>
  </si>
  <si>
    <t xml:space="preserve">Pending</t>
  </si>
  <si>
    <t xml:space="preserve">41.0%</t>
  </si>
  <si>
    <t xml:space="preserve">Supplier 1</t>
  </si>
  <si>
    <t xml:space="preserve">Carrier A</t>
  </si>
  <si>
    <t xml:space="preserve">haircare</t>
  </si>
  <si>
    <t xml:space="preserve">30.2%</t>
  </si>
  <si>
    <t xml:space="preserve">Chennai</t>
  </si>
  <si>
    <t xml:space="preserve">20.6%</t>
  </si>
  <si>
    <t xml:space="preserve">Rail</t>
  </si>
  <si>
    <t xml:space="preserve">29.3%</t>
  </si>
  <si>
    <t xml:space="preserve">Fail</t>
  </si>
  <si>
    <t xml:space="preserve">36.0%</t>
  </si>
  <si>
    <t xml:space="preserve">Supplier 2</t>
  </si>
  <si>
    <t xml:space="preserve">Carrier B</t>
  </si>
  <si>
    <t xml:space="preserve">42.7%</t>
  </si>
  <si>
    <t xml:space="preserve">skincare</t>
  </si>
  <si>
    <t xml:space="preserve">41.8%</t>
  </si>
  <si>
    <t xml:space="preserve">Delhi</t>
  </si>
  <si>
    <t xml:space="preserve">14.0%</t>
  </si>
  <si>
    <t xml:space="preserve">Road</t>
  </si>
  <si>
    <t xml:space="preserve">28.5%</t>
  </si>
  <si>
    <t xml:space="preserve">Pass</t>
  </si>
  <si>
    <t xml:space="preserve">23.0%</t>
  </si>
  <si>
    <t xml:space="preserve">Supplier 3</t>
  </si>
  <si>
    <t xml:space="preserve">Carrier C</t>
  </si>
  <si>
    <t xml:space="preserve">TOTAL</t>
  </si>
  <si>
    <t xml:space="preserve">100%</t>
  </si>
  <si>
    <t xml:space="preserve">Kolkata</t>
  </si>
  <si>
    <t xml:space="preserve">23.7%</t>
  </si>
  <si>
    <t xml:space="preserve">Sea</t>
  </si>
  <si>
    <t xml:space="preserve">18.7%</t>
  </si>
  <si>
    <t xml:space="preserve">Supplier 4</t>
  </si>
  <si>
    <t xml:space="preserve">Mumbai</t>
  </si>
  <si>
    <t xml:space="preserve">23.8%</t>
  </si>
  <si>
    <t xml:space="preserve">Supplier 5</t>
  </si>
  <si>
    <t xml:space="preserve">Stock Units</t>
  </si>
  <si>
    <t xml:space="preserve">Route</t>
  </si>
  <si>
    <t xml:space="preserve">SKU</t>
  </si>
  <si>
    <t xml:space="preserve">Type</t>
  </si>
  <si>
    <t xml:space="preserve">Stock</t>
  </si>
  <si>
    <t xml:space="preserve">31.9%</t>
  </si>
  <si>
    <t xml:space="preserve">Route A</t>
  </si>
  <si>
    <t xml:space="preserve">43.8%</t>
  </si>
  <si>
    <t xml:space="preserve">27.3%</t>
  </si>
  <si>
    <t xml:space="preserve">SKU51</t>
  </si>
  <si>
    <t xml:space="preserve">34.4%</t>
  </si>
  <si>
    <t xml:space="preserve">Route B</t>
  </si>
  <si>
    <t xml:space="preserve">35.4%</t>
  </si>
  <si>
    <t xml:space="preserve">21.7%</t>
  </si>
  <si>
    <t xml:space="preserve">SKU38</t>
  </si>
  <si>
    <t xml:space="preserve">33.7%</t>
  </si>
  <si>
    <t xml:space="preserve">Route C</t>
  </si>
  <si>
    <t xml:space="preserve">20.8%</t>
  </si>
  <si>
    <t xml:space="preserve">16.9%</t>
  </si>
  <si>
    <t xml:space="preserve">SKU31</t>
  </si>
  <si>
    <t xml:space="preserve">15.0%</t>
  </si>
  <si>
    <t xml:space="preserve">SKU90</t>
  </si>
  <si>
    <t xml:space="preserve">19.1%</t>
  </si>
  <si>
    <t xml:space="preserve">SKU2</t>
  </si>
  <si>
    <t xml:space="preserve">SKU32</t>
  </si>
  <si>
    <t xml:space="preserve">SKU67</t>
  </si>
  <si>
    <t xml:space="preserve">SKU88</t>
  </si>
  <si>
    <t xml:space="preserve">SKU52</t>
  </si>
  <si>
    <t xml:space="preserve">SKU18</t>
  </si>
  <si>
    <t xml:space="preserve">📋  SUPPLY CHAIN RAW DATA  —  100 SKUs</t>
  </si>
  <si>
    <t xml:space="preserve">Product type</t>
  </si>
  <si>
    <t xml:space="preserve">Price</t>
  </si>
  <si>
    <t xml:space="preserve">Availability</t>
  </si>
  <si>
    <t xml:space="preserve">Number of products sold</t>
  </si>
  <si>
    <t xml:space="preserve">Revenue generated</t>
  </si>
  <si>
    <t xml:space="preserve">Customer demographics</t>
  </si>
  <si>
    <t xml:space="preserve">Stock levels</t>
  </si>
  <si>
    <t xml:space="preserve">Lead times</t>
  </si>
  <si>
    <t xml:space="preserve">Order quantities</t>
  </si>
  <si>
    <t xml:space="preserve">Shipping times</t>
  </si>
  <si>
    <t xml:space="preserve">Shipping carriers</t>
  </si>
  <si>
    <t xml:space="preserve">Shipping costs</t>
  </si>
  <si>
    <t xml:space="preserve">Supplier name</t>
  </si>
  <si>
    <t xml:space="preserve">Location</t>
  </si>
  <si>
    <t xml:space="preserve">Lead time</t>
  </si>
  <si>
    <t xml:space="preserve">Production volumes</t>
  </si>
  <si>
    <t xml:space="preserve">Manufacturing lead time</t>
  </si>
  <si>
    <t xml:space="preserve">Manufacturing costs</t>
  </si>
  <si>
    <t xml:space="preserve">Inspection results</t>
  </si>
  <si>
    <t xml:space="preserve">Defect rates</t>
  </si>
  <si>
    <t xml:space="preserve">Transportation modes</t>
  </si>
  <si>
    <t xml:space="preserve">Routes</t>
  </si>
  <si>
    <t xml:space="preserve">Costs</t>
  </si>
  <si>
    <t xml:space="preserve">SKU0</t>
  </si>
  <si>
    <t xml:space="preserve">Non-binary</t>
  </si>
  <si>
    <t xml:space="preserve">SKU1</t>
  </si>
  <si>
    <t xml:space="preserve">Female</t>
  </si>
  <si>
    <t xml:space="preserve">Unknown</t>
  </si>
  <si>
    <t xml:space="preserve">SKU3</t>
  </si>
  <si>
    <t xml:space="preserve">SKU4</t>
  </si>
  <si>
    <t xml:space="preserve">SKU5</t>
  </si>
  <si>
    <t xml:space="preserve">SKU6</t>
  </si>
  <si>
    <t xml:space="preserve">Male</t>
  </si>
  <si>
    <t xml:space="preserve">SKU7</t>
  </si>
  <si>
    <t xml:space="preserve">SKU8</t>
  </si>
  <si>
    <t xml:space="preserve">SKU9</t>
  </si>
  <si>
    <t xml:space="preserve">SKU10</t>
  </si>
  <si>
    <t xml:space="preserve">SKU11</t>
  </si>
  <si>
    <t xml:space="preserve">SKU12</t>
  </si>
  <si>
    <t xml:space="preserve">SKU13</t>
  </si>
  <si>
    <t xml:space="preserve">SKU14</t>
  </si>
  <si>
    <t xml:space="preserve">SKU15</t>
  </si>
  <si>
    <t xml:space="preserve">SKU16</t>
  </si>
  <si>
    <t xml:space="preserve">SKU17</t>
  </si>
  <si>
    <t xml:space="preserve">SKU19</t>
  </si>
  <si>
    <t xml:space="preserve">SKU20</t>
  </si>
  <si>
    <t xml:space="preserve">SKU21</t>
  </si>
  <si>
    <t xml:space="preserve">SKU22</t>
  </si>
  <si>
    <t xml:space="preserve">SKU23</t>
  </si>
  <si>
    <t xml:space="preserve">SKU24</t>
  </si>
  <si>
    <t xml:space="preserve">SKU25</t>
  </si>
  <si>
    <t xml:space="preserve">SKU26</t>
  </si>
  <si>
    <t xml:space="preserve">SKU27</t>
  </si>
  <si>
    <t xml:space="preserve">SKU28</t>
  </si>
  <si>
    <t xml:space="preserve">SKU29</t>
  </si>
  <si>
    <t xml:space="preserve">SKU30</t>
  </si>
  <si>
    <t xml:space="preserve">SKU33</t>
  </si>
  <si>
    <t xml:space="preserve">SKU34</t>
  </si>
  <si>
    <t xml:space="preserve">SKU35</t>
  </si>
  <si>
    <t xml:space="preserve">SKU36</t>
  </si>
  <si>
    <t xml:space="preserve">SKU37</t>
  </si>
  <si>
    <t xml:space="preserve">SKU39</t>
  </si>
  <si>
    <t xml:space="preserve">SKU40</t>
  </si>
  <si>
    <t xml:space="preserve">SKU41</t>
  </si>
  <si>
    <t xml:space="preserve">SKU42</t>
  </si>
  <si>
    <t xml:space="preserve">SKU43</t>
  </si>
  <si>
    <t xml:space="preserve">SKU44</t>
  </si>
  <si>
    <t xml:space="preserve">SKU45</t>
  </si>
  <si>
    <t xml:space="preserve">SKU46</t>
  </si>
  <si>
    <t xml:space="preserve">SKU47</t>
  </si>
  <si>
    <t xml:space="preserve">SKU48</t>
  </si>
  <si>
    <t xml:space="preserve">SKU49</t>
  </si>
  <si>
    <t xml:space="preserve">SKU50</t>
  </si>
  <si>
    <t xml:space="preserve">SKU53</t>
  </si>
  <si>
    <t xml:space="preserve">SKU54</t>
  </si>
  <si>
    <t xml:space="preserve">SKU55</t>
  </si>
  <si>
    <t xml:space="preserve">SKU56</t>
  </si>
  <si>
    <t xml:space="preserve">SKU57</t>
  </si>
  <si>
    <t xml:space="preserve">SKU58</t>
  </si>
  <si>
    <t xml:space="preserve">SKU59</t>
  </si>
  <si>
    <t xml:space="preserve">SKU60</t>
  </si>
  <si>
    <t xml:space="preserve">SKU61</t>
  </si>
  <si>
    <t xml:space="preserve">SKU62</t>
  </si>
  <si>
    <t xml:space="preserve">SKU63</t>
  </si>
  <si>
    <t xml:space="preserve">SKU64</t>
  </si>
  <si>
    <t xml:space="preserve">SKU65</t>
  </si>
  <si>
    <t xml:space="preserve">SKU66</t>
  </si>
  <si>
    <t xml:space="preserve">SKU68</t>
  </si>
  <si>
    <t xml:space="preserve">SKU69</t>
  </si>
  <si>
    <t xml:space="preserve">SKU70</t>
  </si>
  <si>
    <t xml:space="preserve">SKU71</t>
  </si>
  <si>
    <t xml:space="preserve">SKU72</t>
  </si>
  <si>
    <t xml:space="preserve">SKU73</t>
  </si>
  <si>
    <t xml:space="preserve">SKU74</t>
  </si>
  <si>
    <t xml:space="preserve">SKU75</t>
  </si>
  <si>
    <t xml:space="preserve">SKU76</t>
  </si>
  <si>
    <t xml:space="preserve">SKU77</t>
  </si>
  <si>
    <t xml:space="preserve">SKU78</t>
  </si>
  <si>
    <t xml:space="preserve">SKU79</t>
  </si>
  <si>
    <t xml:space="preserve">SKU80</t>
  </si>
  <si>
    <t xml:space="preserve">SKU81</t>
  </si>
  <si>
    <t xml:space="preserve">SKU82</t>
  </si>
  <si>
    <t xml:space="preserve">SKU83</t>
  </si>
  <si>
    <t xml:space="preserve">SKU84</t>
  </si>
  <si>
    <t xml:space="preserve">SKU85</t>
  </si>
  <si>
    <t xml:space="preserve">SKU86</t>
  </si>
  <si>
    <t xml:space="preserve">SKU87</t>
  </si>
  <si>
    <t xml:space="preserve">SKU89</t>
  </si>
  <si>
    <t xml:space="preserve">SKU91</t>
  </si>
  <si>
    <t xml:space="preserve">SKU92</t>
  </si>
  <si>
    <t xml:space="preserve">SKU93</t>
  </si>
  <si>
    <t xml:space="preserve">SKU94</t>
  </si>
  <si>
    <t xml:space="preserve">SKU95</t>
  </si>
  <si>
    <t xml:space="preserve">SKU96</t>
  </si>
  <si>
    <t xml:space="preserve">SKU97</t>
  </si>
  <si>
    <t xml:space="preserve">SKU98</t>
  </si>
  <si>
    <t xml:space="preserve">SKU99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</si>
</sst>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Calibri"/>
      <family val="0"/>
      <charset val="1"/>
    </font>
    <font>
      <sz val="9"/>
      <color rgb="FF94A3B8"/>
      <name val="Calibri"/>
      <family val="0"/>
      <charset val="1"/>
    </font>
    <font>
      <b val="true"/>
      <sz val="15"/>
      <color rgb="FF00C9A7"/>
      <name val="Calibri"/>
      <family val="0"/>
      <charset val="1"/>
    </font>
    <font>
      <b val="true"/>
      <sz val="15"/>
      <color rgb="FF0090FF"/>
      <name val="Calibri"/>
      <family val="0"/>
      <charset val="1"/>
    </font>
    <font>
      <b val="true"/>
      <sz val="15"/>
      <color rgb="FF10B981"/>
      <name val="Calibri"/>
      <family val="0"/>
      <charset val="1"/>
    </font>
    <font>
      <b val="true"/>
      <sz val="15"/>
      <color rgb="FFF59E0B"/>
      <name val="Calibri"/>
      <family val="0"/>
      <charset val="1"/>
    </font>
    <font>
      <b val="true"/>
      <sz val="15"/>
      <color rgb="FF8B5CF6"/>
      <name val="Calibri"/>
      <family val="0"/>
      <charset val="1"/>
    </font>
    <font>
      <b val="true"/>
      <sz val="15"/>
      <color rgb="FFEF444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1E293B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Calibri"/>
      <family val="0"/>
      <charset val="1"/>
    </font>
    <font>
      <b val="true"/>
      <sz val="9"/>
      <color rgb="FFF59E0B"/>
      <name val="Calibri"/>
      <family val="0"/>
      <charset val="1"/>
    </font>
    <font>
      <b val="true"/>
      <sz val="9"/>
      <color rgb="FFEF4444"/>
      <name val="Calibri"/>
      <family val="0"/>
      <charset val="1"/>
    </font>
    <font>
      <b val="true"/>
      <sz val="9"/>
      <color rgb="FF10B98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D1B2A"/>
        <bgColor rgb="FF112240"/>
      </patternFill>
    </fill>
    <fill>
      <patternFill patternType="solid">
        <fgColor rgb="FF112240"/>
        <bgColor rgb="FF0A2540"/>
      </patternFill>
    </fill>
    <fill>
      <patternFill patternType="solid">
        <fgColor rgb="FF0A2540"/>
        <bgColor rgb="FF112240"/>
      </patternFill>
    </fill>
    <fill>
      <patternFill patternType="solid">
        <fgColor rgb="FFFFFFFF"/>
        <bgColor rgb="FFF8FAFC"/>
      </patternFill>
    </fill>
    <fill>
      <patternFill patternType="solid">
        <fgColor rgb="FFEFF6FF"/>
        <bgColor rgb="FFF8FAFC"/>
      </patternFill>
    </fill>
    <fill>
      <patternFill patternType="solid">
        <fgColor rgb="FF1A3050"/>
        <bgColor rgb="FF1E293B"/>
      </patternFill>
    </fill>
    <fill>
      <patternFill patternType="solid">
        <fgColor rgb="FFF8FAFC"/>
        <bgColor rgb="FFF9F9F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1A3050"/>
      </left>
      <right style="thin">
        <color rgb="FF1A3050"/>
      </right>
      <top style="thin">
        <color rgb="FF1A3050"/>
      </top>
      <bottom style="thin">
        <color rgb="FF1A3050"/>
      </bottom>
      <diagonal/>
    </border>
    <border diagonalUp="false" diagonalDown="false">
      <left style="thin">
        <color rgb="FF1A3050"/>
      </left>
      <right style="thin">
        <color rgb="FF1A3050"/>
      </right>
      <top style="thin">
        <color rgb="FF1A3050"/>
      </top>
      <bottom style="medium">
        <color rgb="FF00C9A7"/>
      </bottom>
      <diagonal/>
    </border>
    <border diagonalUp="false" diagonalDown="false">
      <left style="thin">
        <color rgb="FF1A3050"/>
      </left>
      <right style="thin">
        <color rgb="FF1A3050"/>
      </right>
      <top style="thin">
        <color rgb="FF1A3050"/>
      </top>
      <bottom style="medium">
        <color rgb="FF0090FF"/>
      </bottom>
      <diagonal/>
    </border>
    <border diagonalUp="false" diagonalDown="false">
      <left style="thin">
        <color rgb="FF1A3050"/>
      </left>
      <right style="thin">
        <color rgb="FF1A3050"/>
      </right>
      <top style="thin">
        <color rgb="FF1A3050"/>
      </top>
      <bottom style="medium">
        <color rgb="FF10B981"/>
      </bottom>
      <diagonal/>
    </border>
    <border diagonalUp="false" diagonalDown="false">
      <left style="thin">
        <color rgb="FF1A3050"/>
      </left>
      <right style="thin">
        <color rgb="FF1A3050"/>
      </right>
      <top style="thin">
        <color rgb="FF1A3050"/>
      </top>
      <bottom style="medium">
        <color rgb="FFF59E0B"/>
      </bottom>
      <diagonal/>
    </border>
    <border diagonalUp="false" diagonalDown="false">
      <left style="thin">
        <color rgb="FF1A3050"/>
      </left>
      <right style="thin">
        <color rgb="FF1A3050"/>
      </right>
      <top style="thin">
        <color rgb="FF1A3050"/>
      </top>
      <bottom style="medium">
        <color rgb="FF8B5CF6"/>
      </bottom>
      <diagonal/>
    </border>
    <border diagonalUp="false" diagonalDown="false">
      <left style="thin">
        <color rgb="FF1A3050"/>
      </left>
      <right style="thin">
        <color rgb="FF1A3050"/>
      </right>
      <top style="thin">
        <color rgb="FF1A3050"/>
      </top>
      <bottom style="medium">
        <color rgb="FFEF4444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2540"/>
      <rgbColor rgb="FF808000"/>
      <rgbColor rgb="FF800080"/>
      <rgbColor rgb="FF008080"/>
      <rgbColor rgb="FFD9D9D9"/>
      <rgbColor rgb="FF878787"/>
      <rgbColor rgb="FF8B5CF6"/>
      <rgbColor rgb="FF993366"/>
      <rgbColor rgb="FFF9F9F9"/>
      <rgbColor rgb="FFEFF6FF"/>
      <rgbColor rgb="FF660066"/>
      <rgbColor rgb="FFFF8080"/>
      <rgbColor rgb="FF0090FF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9A7"/>
      <rgbColor rgb="FFE2E8F0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EF4444"/>
      <rgbColor rgb="FF4F81BD"/>
      <rgbColor rgb="FF94A3B8"/>
      <rgbColor rgb="FF1A3050"/>
      <rgbColor rgb="FF10B981"/>
      <rgbColor rgb="FF0D1B2A"/>
      <rgbColor rgb="FF11224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Dashboard'!B9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00c9a7"/>
            </a:solidFill>
            <a:ln w="9360">
              <a:solidFill>
                <a:srgbClr val="00c9a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Dashboard'!$A$10:$A$12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'📊 Dashboard'!$B$10:$B$12</c:f>
              <c:numCache>
                <c:formatCode>General</c:formatCode>
                <c:ptCount val="3"/>
                <c:pt idx="0">
                  <c:v>161521</c:v>
                </c:pt>
                <c:pt idx="1">
                  <c:v>174455</c:v>
                </c:pt>
                <c:pt idx="2">
                  <c:v>241628</c:v>
                </c:pt>
              </c:numCache>
            </c:numRef>
          </c:val>
        </c:ser>
        <c:gapWidth val="150"/>
        <c:overlap val="0"/>
        <c:axId val="83731793"/>
        <c:axId val="39024078"/>
      </c:barChart>
      <c:catAx>
        <c:axId val="837317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24078"/>
        <c:crosses val="autoZero"/>
        <c:auto val="1"/>
        <c:lblAlgn val="ctr"/>
        <c:lblOffset val="100"/>
        <c:noMultiLvlLbl val="0"/>
      </c:catAx>
      <c:valAx>
        <c:axId val="39024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317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'📊 Dashboard'!F9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00c9a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0090f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f59e0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b5cf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ef4444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'📊 Dashboard'!$E$10:$E$14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'📊 Dashboard'!$F$10:$F$14</c:f>
              <c:numCache>
                <c:formatCode>General</c:formatCode>
                <c:ptCount val="5"/>
                <c:pt idx="0">
                  <c:v>102602</c:v>
                </c:pt>
                <c:pt idx="1">
                  <c:v>119143</c:v>
                </c:pt>
                <c:pt idx="2">
                  <c:v>81028</c:v>
                </c:pt>
                <c:pt idx="3">
                  <c:v>137078</c:v>
                </c:pt>
                <c:pt idx="4">
                  <c:v>137755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Units by Transport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'📊 Dashboard'!J9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00c9a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0090f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f59e0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b5cf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'📊 Dashboard'!$I$10:$I$13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'📊 Dashboard'!$J$10:$J$13</c:f>
              <c:numCache>
                <c:formatCode>General</c:formatCode>
                <c:ptCount val="4"/>
                <c:pt idx="0">
                  <c:v>10882</c:v>
                </c:pt>
                <c:pt idx="1">
                  <c:v>13493</c:v>
                </c:pt>
                <c:pt idx="2">
                  <c:v>13120</c:v>
                </c:pt>
                <c:pt idx="3">
                  <c:v>8604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QC Inspection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'📊 Dashboard'!N9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0b98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f44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f59e0b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'📊 Dashboard'!$M$10:$M$12</c:f>
              <c:strCache>
                <c:ptCount val="3"/>
                <c:pt idx="0">
                  <c:v>Pending</c:v>
                </c:pt>
                <c:pt idx="1">
                  <c:v>Fail</c:v>
                </c:pt>
                <c:pt idx="2">
                  <c:v>Pass</c:v>
                </c:pt>
              </c:strCache>
            </c:strRef>
          </c:cat>
          <c:val>
            <c:numRef>
              <c:f>'📊 Dashboard'!$N$10:$N$12</c:f>
              <c:numCache>
                <c:formatCode>General</c:formatCode>
                <c:ptCount val="3"/>
                <c:pt idx="0">
                  <c:v>41</c:v>
                </c:pt>
                <c:pt idx="1">
                  <c:v>36</c:v>
                </c:pt>
                <c:pt idx="2">
                  <c:v>23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Dashboard'!J17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0090ff"/>
            </a:solidFill>
            <a:ln w="9360">
              <a:solidFill>
                <a:srgbClr val="0090ff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Dashboard'!$I$18:$I$22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'📊 Dashboard'!$J$18:$J$22</c:f>
              <c:numCache>
                <c:formatCode>General</c:formatCode>
                <c:ptCount val="5"/>
                <c:pt idx="0">
                  <c:v>157529</c:v>
                </c:pt>
                <c:pt idx="1">
                  <c:v>125467</c:v>
                </c:pt>
                <c:pt idx="2">
                  <c:v>97796</c:v>
                </c:pt>
                <c:pt idx="3">
                  <c:v>86469</c:v>
                </c:pt>
                <c:pt idx="4">
                  <c:v>110343</c:v>
                </c:pt>
              </c:numCache>
            </c:numRef>
          </c:val>
        </c:ser>
        <c:gapWidth val="150"/>
        <c:overlap val="0"/>
        <c:axId val="83891743"/>
        <c:axId val="7084736"/>
      </c:barChart>
      <c:catAx>
        <c:axId val="8389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4736"/>
        <c:crosses val="autoZero"/>
        <c:auto val="1"/>
        <c:lblAlgn val="ctr"/>
        <c:lblOffset val="100"/>
        <c:noMultiLvlLbl val="0"/>
      </c:catAx>
      <c:valAx>
        <c:axId val="70847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917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Defect Rate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Dashboard'!R9</c:f>
              <c:strCache>
                <c:ptCount val="1"/>
                <c:pt idx="0">
                  <c:v>Avg Defect %</c:v>
                </c:pt>
              </c:strCache>
            </c:strRef>
          </c:tx>
          <c:spPr>
            <a:solidFill>
              <a:srgbClr val="ef4444"/>
            </a:solidFill>
            <a:ln w="9360">
              <a:solidFill>
                <a:srgbClr val="ef444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Dashboard'!$Q$10:$Q$14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'📊 Dashboard'!$R$10:$R$14</c:f>
              <c:numCache>
                <c:formatCode>General</c:formatCode>
                <c:ptCount val="5"/>
                <c:pt idx="0">
                  <c:v>1.8</c:v>
                </c:pt>
                <c:pt idx="1">
                  <c:v>2.36</c:v>
                </c:pt>
                <c:pt idx="2">
                  <c:v>2.47</c:v>
                </c:pt>
                <c:pt idx="3">
                  <c:v>2.34</c:v>
                </c:pt>
                <c:pt idx="4">
                  <c:v>2.67</c:v>
                </c:pt>
              </c:numCache>
            </c:numRef>
          </c:val>
        </c:ser>
        <c:gapWidth val="150"/>
        <c:overlap val="0"/>
        <c:axId val="88981713"/>
        <c:axId val="48657194"/>
      </c:barChart>
      <c:catAx>
        <c:axId val="889817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57194"/>
        <c:crosses val="autoZero"/>
        <c:auto val="1"/>
        <c:lblAlgn val="ctr"/>
        <c:lblOffset val="100"/>
        <c:noMultiLvlLbl val="0"/>
      </c:catAx>
      <c:valAx>
        <c:axId val="486571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817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Delivery Route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Dashboard'!F17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10b981"/>
            </a:solidFill>
            <a:ln w="9360">
              <a:solidFill>
                <a:srgbClr val="10b98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Dashboard'!$E$18:$E$20</c:f>
              <c:strCache>
                <c:ptCount val="3"/>
                <c:pt idx="0">
                  <c:v>Route A</c:v>
                </c:pt>
                <c:pt idx="1">
                  <c:v>Route B</c:v>
                </c:pt>
                <c:pt idx="2">
                  <c:v>Route C</c:v>
                </c:pt>
              </c:strCache>
            </c:strRef>
          </c:cat>
          <c:val>
            <c:numRef>
              <c:f>'📊 Dashboard'!$F$18:$F$20</c:f>
              <c:numCache>
                <c:formatCode>General</c:formatCode>
                <c:ptCount val="3"/>
                <c:pt idx="0">
                  <c:v>253199</c:v>
                </c:pt>
                <c:pt idx="1">
                  <c:v>204484</c:v>
                </c:pt>
                <c:pt idx="2">
                  <c:v>119922</c:v>
                </c:pt>
              </c:numCache>
            </c:numRef>
          </c:val>
        </c:ser>
        <c:gapWidth val="150"/>
        <c:overlap val="0"/>
        <c:axId val="41995852"/>
        <c:axId val="49724691"/>
      </c:barChart>
      <c:catAx>
        <c:axId val="419958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24691"/>
        <c:crosses val="autoZero"/>
        <c:auto val="1"/>
        <c:lblAlgn val="ctr"/>
        <c:lblOffset val="100"/>
        <c:noMultiLvlLbl val="0"/>
      </c:catAx>
      <c:valAx>
        <c:axId val="497246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958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Shipping Cost by Carrier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'📊 Dashboard'!V9</c:f>
              <c:strCache>
                <c:ptCount val="1"/>
                <c:pt idx="0">
                  <c:v>Ship Cost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00c9a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59e0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b5cf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'📊 Dashboard'!$U$10:$U$12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'📊 Dashboard'!$V$10:$V$12</c:f>
              <c:numCache>
                <c:formatCode>General</c:formatCode>
                <c:ptCount val="3"/>
                <c:pt idx="0">
                  <c:v>155.5</c:v>
                </c:pt>
                <c:pt idx="1">
                  <c:v>236.9</c:v>
                </c:pt>
                <c:pt idx="2">
                  <c:v>162.4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'📊 Dashboard'!B17</c:f>
              <c:strCache>
                <c:ptCount val="1"/>
                <c:pt idx="0">
                  <c:v>Stock Units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00c9a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0090f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f59e0b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'📊 Dashboard'!$A$18:$A$20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'📊 Dashboard'!$B$18:$B$20</c:f>
              <c:numCache>
                <c:formatCode>General</c:formatCode>
                <c:ptCount val="3"/>
                <c:pt idx="0">
                  <c:v>1525</c:v>
                </c:pt>
                <c:pt idx="1">
                  <c:v>1644</c:v>
                </c:pt>
                <c:pt idx="2">
                  <c:v>1608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SKUs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Dashboard'!O17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8b5cf6"/>
            </a:solidFill>
            <a:ln w="9360">
              <a:solidFill>
                <a:srgbClr val="8b5cf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Dashboard'!$M$18:$M$27</c:f>
              <c:strCache>
                <c:ptCount val="10"/>
                <c:pt idx="0">
                  <c:v>SKU51</c:v>
                </c:pt>
                <c:pt idx="1">
                  <c:v>SKU38</c:v>
                </c:pt>
                <c:pt idx="2">
                  <c:v>SKU31</c:v>
                </c:pt>
                <c:pt idx="3">
                  <c:v>SKU90</c:v>
                </c:pt>
                <c:pt idx="4">
                  <c:v>SKU2</c:v>
                </c:pt>
                <c:pt idx="5">
                  <c:v>SKU32</c:v>
                </c:pt>
                <c:pt idx="6">
                  <c:v>SKU67</c:v>
                </c:pt>
                <c:pt idx="7">
                  <c:v>SKU88</c:v>
                </c:pt>
                <c:pt idx="8">
                  <c:v>SKU52</c:v>
                </c:pt>
                <c:pt idx="9">
                  <c:v>SKU18</c:v>
                </c:pt>
              </c:strCache>
            </c:strRef>
          </c:cat>
          <c:val>
            <c:numRef>
              <c:f>'📊 Dashboard'!$O$18:$O$27</c:f>
              <c:numCache>
                <c:formatCode>General</c:formatCode>
                <c:ptCount val="10"/>
                <c:pt idx="0">
                  <c:v>9866</c:v>
                </c:pt>
                <c:pt idx="1">
                  <c:v>9692</c:v>
                </c:pt>
                <c:pt idx="2">
                  <c:v>9655</c:v>
                </c:pt>
                <c:pt idx="3">
                  <c:v>9593</c:v>
                </c:pt>
                <c:pt idx="4">
                  <c:v>9578</c:v>
                </c:pt>
                <c:pt idx="5">
                  <c:v>9572</c:v>
                </c:pt>
                <c:pt idx="6">
                  <c:v>9474</c:v>
                </c:pt>
                <c:pt idx="7">
                  <c:v>9445</c:v>
                </c:pt>
                <c:pt idx="8">
                  <c:v>9436</c:v>
                </c:pt>
                <c:pt idx="9">
                  <c:v>9365</c:v>
                </c:pt>
              </c:numCache>
            </c:numRef>
          </c:val>
        </c:ser>
        <c:gapWidth val="150"/>
        <c:overlap val="0"/>
        <c:axId val="13658560"/>
        <c:axId val="39174482"/>
      </c:barChart>
      <c:catAx>
        <c:axId val="1365856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74482"/>
        <c:crosses val="autoZero"/>
        <c:auto val="1"/>
        <c:lblAlgn val="ctr"/>
        <c:lblOffset val="100"/>
        <c:noMultiLvlLbl val="0"/>
      </c:catAx>
      <c:valAx>
        <c:axId val="391744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585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7</xdr:col>
      <xdr:colOff>239040</xdr:colOff>
      <xdr:row>53</xdr:row>
      <xdr:rowOff>107640</xdr:rowOff>
    </xdr:to>
    <xdr:graphicFrame>
      <xdr:nvGraphicFramePr>
        <xdr:cNvPr id="0" name="Chart 1"/>
        <xdr:cNvGraphicFramePr/>
      </xdr:nvGraphicFramePr>
      <xdr:xfrm>
        <a:off x="0" y="6086520"/>
        <a:ext cx="46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29</xdr:row>
      <xdr:rowOff>0</xdr:rowOff>
    </xdr:from>
    <xdr:to>
      <xdr:col>13</xdr:col>
      <xdr:colOff>239040</xdr:colOff>
      <xdr:row>53</xdr:row>
      <xdr:rowOff>107640</xdr:rowOff>
    </xdr:to>
    <xdr:graphicFrame>
      <xdr:nvGraphicFramePr>
        <xdr:cNvPr id="1" name="Chart 2"/>
        <xdr:cNvGraphicFramePr/>
      </xdr:nvGraphicFramePr>
      <xdr:xfrm>
        <a:off x="3806280" y="6086520"/>
        <a:ext cx="46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29</xdr:row>
      <xdr:rowOff>0</xdr:rowOff>
    </xdr:from>
    <xdr:to>
      <xdr:col>19</xdr:col>
      <xdr:colOff>239400</xdr:colOff>
      <xdr:row>53</xdr:row>
      <xdr:rowOff>107640</xdr:rowOff>
    </xdr:to>
    <xdr:graphicFrame>
      <xdr:nvGraphicFramePr>
        <xdr:cNvPr id="2" name="Chart 3"/>
        <xdr:cNvGraphicFramePr/>
      </xdr:nvGraphicFramePr>
      <xdr:xfrm>
        <a:off x="7612560" y="6086520"/>
        <a:ext cx="46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29</xdr:row>
      <xdr:rowOff>0</xdr:rowOff>
    </xdr:from>
    <xdr:to>
      <xdr:col>25</xdr:col>
      <xdr:colOff>261720</xdr:colOff>
      <xdr:row>53</xdr:row>
      <xdr:rowOff>107640</xdr:rowOff>
    </xdr:to>
    <xdr:graphicFrame>
      <xdr:nvGraphicFramePr>
        <xdr:cNvPr id="3" name="Chart 4"/>
        <xdr:cNvGraphicFramePr/>
      </xdr:nvGraphicFramePr>
      <xdr:xfrm>
        <a:off x="11418480" y="6086520"/>
        <a:ext cx="46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239040</xdr:colOff>
      <xdr:row>73</xdr:row>
      <xdr:rowOff>107640</xdr:rowOff>
    </xdr:to>
    <xdr:graphicFrame>
      <xdr:nvGraphicFramePr>
        <xdr:cNvPr id="4" name="Chart 5"/>
        <xdr:cNvGraphicFramePr/>
      </xdr:nvGraphicFramePr>
      <xdr:xfrm>
        <a:off x="0" y="9896400"/>
        <a:ext cx="46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49</xdr:row>
      <xdr:rowOff>0</xdr:rowOff>
    </xdr:from>
    <xdr:to>
      <xdr:col>13</xdr:col>
      <xdr:colOff>239040</xdr:colOff>
      <xdr:row>73</xdr:row>
      <xdr:rowOff>107640</xdr:rowOff>
    </xdr:to>
    <xdr:graphicFrame>
      <xdr:nvGraphicFramePr>
        <xdr:cNvPr id="5" name="Chart 6"/>
        <xdr:cNvGraphicFramePr/>
      </xdr:nvGraphicFramePr>
      <xdr:xfrm>
        <a:off x="3806280" y="9896400"/>
        <a:ext cx="46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0</xdr:colOff>
      <xdr:row>49</xdr:row>
      <xdr:rowOff>0</xdr:rowOff>
    </xdr:from>
    <xdr:to>
      <xdr:col>19</xdr:col>
      <xdr:colOff>239400</xdr:colOff>
      <xdr:row>73</xdr:row>
      <xdr:rowOff>107640</xdr:rowOff>
    </xdr:to>
    <xdr:graphicFrame>
      <xdr:nvGraphicFramePr>
        <xdr:cNvPr id="6" name="Chart 7"/>
        <xdr:cNvGraphicFramePr/>
      </xdr:nvGraphicFramePr>
      <xdr:xfrm>
        <a:off x="7612560" y="9896400"/>
        <a:ext cx="46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18</xdr:col>
      <xdr:colOff>0</xdr:colOff>
      <xdr:row>49</xdr:row>
      <xdr:rowOff>0</xdr:rowOff>
    </xdr:from>
    <xdr:to>
      <xdr:col>25</xdr:col>
      <xdr:colOff>261720</xdr:colOff>
      <xdr:row>73</xdr:row>
      <xdr:rowOff>107640</xdr:rowOff>
    </xdr:to>
    <xdr:graphicFrame>
      <xdr:nvGraphicFramePr>
        <xdr:cNvPr id="7" name="Chart 8"/>
        <xdr:cNvGraphicFramePr/>
      </xdr:nvGraphicFramePr>
      <xdr:xfrm>
        <a:off x="11418480" y="9896400"/>
        <a:ext cx="46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69</xdr:row>
      <xdr:rowOff>0</xdr:rowOff>
    </xdr:from>
    <xdr:to>
      <xdr:col>7</xdr:col>
      <xdr:colOff>239040</xdr:colOff>
      <xdr:row>93</xdr:row>
      <xdr:rowOff>107640</xdr:rowOff>
    </xdr:to>
    <xdr:graphicFrame>
      <xdr:nvGraphicFramePr>
        <xdr:cNvPr id="8" name="Chart 9"/>
        <xdr:cNvGraphicFramePr/>
      </xdr:nvGraphicFramePr>
      <xdr:xfrm>
        <a:off x="0" y="13706640"/>
        <a:ext cx="46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0</xdr:colOff>
      <xdr:row>69</xdr:row>
      <xdr:rowOff>0</xdr:rowOff>
    </xdr:from>
    <xdr:to>
      <xdr:col>21</xdr:col>
      <xdr:colOff>204120</xdr:colOff>
      <xdr:row>93</xdr:row>
      <xdr:rowOff>107640</xdr:rowOff>
    </xdr:to>
    <xdr:graphicFrame>
      <xdr:nvGraphicFramePr>
        <xdr:cNvPr id="9" name="Chart 10"/>
        <xdr:cNvGraphicFramePr/>
      </xdr:nvGraphicFramePr>
      <xdr:xfrm>
        <a:off x="3806280" y="13706640"/>
        <a:ext cx="97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9A7"/>
    <pageSetUpPr fitToPage="false"/>
  </sheetPr>
  <dimension ref="A1:X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9"/>
  </cols>
  <sheetData>
    <row r="1" customFormat="false" ht="5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6" hidden="false" customHeight="true" outlineLevel="0" collapsed="false"/>
    <row r="3" customFormat="false" ht="13.5" hidden="false" customHeight="true" outlineLevel="0" collapsed="false">
      <c r="A3" s="2" t="s">
        <v>1</v>
      </c>
      <c r="B3" s="2"/>
      <c r="C3" s="2"/>
      <c r="D3" s="2"/>
      <c r="E3" s="2" t="s">
        <v>2</v>
      </c>
      <c r="F3" s="2"/>
      <c r="G3" s="2"/>
      <c r="H3" s="2"/>
      <c r="I3" s="2" t="s">
        <v>3</v>
      </c>
      <c r="J3" s="2"/>
      <c r="K3" s="2"/>
      <c r="L3" s="2"/>
      <c r="M3" s="2" t="s">
        <v>4</v>
      </c>
      <c r="N3" s="2"/>
      <c r="O3" s="2"/>
      <c r="P3" s="2"/>
      <c r="Q3" s="2" t="s">
        <v>5</v>
      </c>
      <c r="R3" s="2"/>
      <c r="S3" s="2"/>
      <c r="T3" s="2"/>
      <c r="U3" s="2" t="s">
        <v>6</v>
      </c>
      <c r="V3" s="2"/>
      <c r="W3" s="2"/>
      <c r="X3" s="2"/>
    </row>
    <row r="4" customFormat="false" ht="27.75" hidden="false" customHeight="true" outlineLevel="0" collapsed="false">
      <c r="A4" s="3" t="s">
        <v>7</v>
      </c>
      <c r="B4" s="3"/>
      <c r="C4" s="3"/>
      <c r="D4" s="3"/>
      <c r="E4" s="4" t="s">
        <v>8</v>
      </c>
      <c r="F4" s="4"/>
      <c r="G4" s="4"/>
      <c r="H4" s="4"/>
      <c r="I4" s="5" t="s">
        <v>9</v>
      </c>
      <c r="J4" s="5"/>
      <c r="K4" s="5"/>
      <c r="L4" s="5"/>
      <c r="M4" s="6" t="s">
        <v>10</v>
      </c>
      <c r="N4" s="6"/>
      <c r="O4" s="6"/>
      <c r="P4" s="6"/>
      <c r="Q4" s="7" t="s">
        <v>11</v>
      </c>
      <c r="R4" s="7"/>
      <c r="S4" s="7"/>
      <c r="T4" s="7"/>
      <c r="U4" s="8" t="s">
        <v>12</v>
      </c>
      <c r="V4" s="8"/>
      <c r="W4" s="8"/>
      <c r="X4" s="8"/>
    </row>
    <row r="5" customFormat="false" ht="13.5" hidden="false" customHeight="true" outlineLevel="0" collapsed="false">
      <c r="A5" s="2" t="s">
        <v>13</v>
      </c>
      <c r="B5" s="2"/>
      <c r="C5" s="2"/>
      <c r="D5" s="2"/>
      <c r="E5" s="2" t="s">
        <v>14</v>
      </c>
      <c r="F5" s="2"/>
      <c r="G5" s="2"/>
      <c r="H5" s="2"/>
      <c r="I5" s="2" t="s">
        <v>15</v>
      </c>
      <c r="J5" s="2"/>
      <c r="K5" s="2"/>
      <c r="L5" s="2"/>
      <c r="M5" s="2" t="s">
        <v>16</v>
      </c>
      <c r="N5" s="2"/>
      <c r="O5" s="2"/>
      <c r="P5" s="2"/>
      <c r="Q5" s="2" t="s">
        <v>17</v>
      </c>
      <c r="R5" s="2"/>
      <c r="S5" s="2"/>
      <c r="T5" s="2"/>
      <c r="U5" s="2" t="s">
        <v>18</v>
      </c>
      <c r="V5" s="2"/>
      <c r="W5" s="2"/>
      <c r="X5" s="2"/>
    </row>
    <row r="6" customFormat="false" ht="27.75" hidden="false" customHeight="true" outlineLevel="0" collapsed="false">
      <c r="A6" s="5" t="s">
        <v>19</v>
      </c>
      <c r="B6" s="5"/>
      <c r="C6" s="5"/>
      <c r="D6" s="5"/>
      <c r="E6" s="8" t="s">
        <v>20</v>
      </c>
      <c r="F6" s="8"/>
      <c r="G6" s="8"/>
      <c r="H6" s="8"/>
      <c r="I6" s="6" t="s">
        <v>21</v>
      </c>
      <c r="J6" s="6"/>
      <c r="K6" s="6"/>
      <c r="L6" s="6"/>
      <c r="M6" s="4" t="s">
        <v>22</v>
      </c>
      <c r="N6" s="4"/>
      <c r="O6" s="4"/>
      <c r="P6" s="4"/>
      <c r="Q6" s="3" t="s">
        <v>23</v>
      </c>
      <c r="R6" s="3"/>
      <c r="S6" s="3"/>
      <c r="T6" s="3"/>
      <c r="U6" s="7" t="s">
        <v>24</v>
      </c>
      <c r="V6" s="7"/>
      <c r="W6" s="7"/>
      <c r="X6" s="7"/>
    </row>
    <row r="7" customFormat="false" ht="6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customFormat="false" ht="18" hidden="false" customHeight="true" outlineLevel="0" collapsed="false">
      <c r="A8" s="10" t="s">
        <v>25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customFormat="false" ht="15" hidden="false" customHeight="true" outlineLevel="0" collapsed="false">
      <c r="A9" s="11" t="s">
        <v>26</v>
      </c>
      <c r="B9" s="11" t="s">
        <v>27</v>
      </c>
      <c r="C9" s="11" t="s">
        <v>28</v>
      </c>
      <c r="E9" s="11" t="s">
        <v>29</v>
      </c>
      <c r="F9" s="11" t="s">
        <v>27</v>
      </c>
      <c r="G9" s="11" t="s">
        <v>28</v>
      </c>
      <c r="I9" s="11" t="s">
        <v>30</v>
      </c>
      <c r="J9" s="11" t="s">
        <v>31</v>
      </c>
      <c r="K9" s="11" t="s">
        <v>28</v>
      </c>
      <c r="M9" s="11" t="s">
        <v>32</v>
      </c>
      <c r="N9" s="11" t="s">
        <v>33</v>
      </c>
      <c r="O9" s="11" t="s">
        <v>28</v>
      </c>
      <c r="Q9" s="11" t="s">
        <v>34</v>
      </c>
      <c r="R9" s="11" t="s">
        <v>35</v>
      </c>
      <c r="S9" s="11" t="s">
        <v>27</v>
      </c>
      <c r="U9" s="11" t="s">
        <v>36</v>
      </c>
      <c r="V9" s="11" t="s">
        <v>37</v>
      </c>
      <c r="W9" s="11" t="s">
        <v>28</v>
      </c>
    </row>
    <row r="10" customFormat="false" ht="15" hidden="false" customHeight="true" outlineLevel="0" collapsed="false">
      <c r="A10" s="12" t="s">
        <v>38</v>
      </c>
      <c r="B10" s="12" t="n">
        <v>161521</v>
      </c>
      <c r="C10" s="12" t="s">
        <v>39</v>
      </c>
      <c r="E10" s="12" t="s">
        <v>40</v>
      </c>
      <c r="F10" s="12" t="n">
        <v>102602</v>
      </c>
      <c r="G10" s="12" t="s">
        <v>41</v>
      </c>
      <c r="I10" s="12" t="s">
        <v>42</v>
      </c>
      <c r="J10" s="12" t="n">
        <v>10882</v>
      </c>
      <c r="K10" s="12" t="s">
        <v>43</v>
      </c>
      <c r="M10" s="12" t="s">
        <v>44</v>
      </c>
      <c r="N10" s="12" t="n">
        <v>41</v>
      </c>
      <c r="O10" s="12" t="s">
        <v>45</v>
      </c>
      <c r="Q10" s="12" t="s">
        <v>46</v>
      </c>
      <c r="R10" s="12" t="n">
        <v>1.8</v>
      </c>
      <c r="S10" s="12" t="n">
        <v>157529</v>
      </c>
      <c r="U10" s="12" t="s">
        <v>47</v>
      </c>
      <c r="V10" s="12" t="n">
        <v>155.5</v>
      </c>
      <c r="W10" s="12" t="s">
        <v>39</v>
      </c>
    </row>
    <row r="11" customFormat="false" ht="15" hidden="false" customHeight="true" outlineLevel="0" collapsed="false">
      <c r="A11" s="13" t="s">
        <v>48</v>
      </c>
      <c r="B11" s="13" t="n">
        <v>174455</v>
      </c>
      <c r="C11" s="13" t="s">
        <v>49</v>
      </c>
      <c r="E11" s="13" t="s">
        <v>50</v>
      </c>
      <c r="F11" s="13" t="n">
        <v>119143</v>
      </c>
      <c r="G11" s="13" t="s">
        <v>51</v>
      </c>
      <c r="I11" s="13" t="s">
        <v>52</v>
      </c>
      <c r="J11" s="13" t="n">
        <v>13493</v>
      </c>
      <c r="K11" s="13" t="s">
        <v>53</v>
      </c>
      <c r="M11" s="13" t="s">
        <v>54</v>
      </c>
      <c r="N11" s="13" t="n">
        <v>36</v>
      </c>
      <c r="O11" s="13" t="s">
        <v>55</v>
      </c>
      <c r="Q11" s="13" t="s">
        <v>56</v>
      </c>
      <c r="R11" s="13" t="n">
        <v>2.36</v>
      </c>
      <c r="S11" s="13" t="n">
        <v>125467</v>
      </c>
      <c r="U11" s="13" t="s">
        <v>57</v>
      </c>
      <c r="V11" s="13" t="n">
        <v>236.9</v>
      </c>
      <c r="W11" s="13" t="s">
        <v>58</v>
      </c>
    </row>
    <row r="12" customFormat="false" ht="15" hidden="false" customHeight="true" outlineLevel="0" collapsed="false">
      <c r="A12" s="12" t="s">
        <v>59</v>
      </c>
      <c r="B12" s="12" t="n">
        <v>241628</v>
      </c>
      <c r="C12" s="12" t="s">
        <v>60</v>
      </c>
      <c r="E12" s="12" t="s">
        <v>61</v>
      </c>
      <c r="F12" s="12" t="n">
        <v>81028</v>
      </c>
      <c r="G12" s="12" t="s">
        <v>62</v>
      </c>
      <c r="I12" s="12" t="s">
        <v>63</v>
      </c>
      <c r="J12" s="12" t="n">
        <v>13120</v>
      </c>
      <c r="K12" s="12" t="s">
        <v>64</v>
      </c>
      <c r="M12" s="12" t="s">
        <v>65</v>
      </c>
      <c r="N12" s="12" t="n">
        <v>23</v>
      </c>
      <c r="O12" s="12" t="s">
        <v>66</v>
      </c>
      <c r="Q12" s="12" t="s">
        <v>67</v>
      </c>
      <c r="R12" s="12" t="n">
        <v>2.47</v>
      </c>
      <c r="S12" s="12" t="n">
        <v>97796</v>
      </c>
      <c r="U12" s="12" t="s">
        <v>68</v>
      </c>
      <c r="V12" s="12" t="n">
        <v>162.4</v>
      </c>
      <c r="W12" s="12" t="s">
        <v>53</v>
      </c>
    </row>
    <row r="13" customFormat="false" ht="15" hidden="false" customHeight="true" outlineLevel="0" collapsed="false">
      <c r="A13" s="14" t="s">
        <v>69</v>
      </c>
      <c r="B13" s="14" t="n">
        <f aca="false">SUM(B10:B12)</f>
        <v>577604</v>
      </c>
      <c r="C13" s="14" t="s">
        <v>70</v>
      </c>
      <c r="E13" s="13" t="s">
        <v>71</v>
      </c>
      <c r="F13" s="13" t="n">
        <v>137078</v>
      </c>
      <c r="G13" s="13" t="s">
        <v>72</v>
      </c>
      <c r="I13" s="13" t="s">
        <v>73</v>
      </c>
      <c r="J13" s="13" t="n">
        <v>8604</v>
      </c>
      <c r="K13" s="13" t="s">
        <v>74</v>
      </c>
      <c r="Q13" s="13" t="s">
        <v>75</v>
      </c>
      <c r="R13" s="13" t="n">
        <v>2.34</v>
      </c>
      <c r="S13" s="13" t="n">
        <v>86469</v>
      </c>
    </row>
    <row r="14" customFormat="false" ht="15" hidden="false" customHeight="true" outlineLevel="0" collapsed="false">
      <c r="E14" s="12" t="s">
        <v>76</v>
      </c>
      <c r="F14" s="12" t="n">
        <v>137755</v>
      </c>
      <c r="G14" s="12" t="s">
        <v>77</v>
      </c>
      <c r="Q14" s="12" t="s">
        <v>78</v>
      </c>
      <c r="R14" s="12" t="n">
        <v>2.67</v>
      </c>
      <c r="S14" s="12" t="n">
        <v>110343</v>
      </c>
    </row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>
      <c r="A17" s="11" t="s">
        <v>26</v>
      </c>
      <c r="B17" s="11" t="s">
        <v>79</v>
      </c>
      <c r="C17" s="11" t="s">
        <v>28</v>
      </c>
      <c r="E17" s="11" t="s">
        <v>80</v>
      </c>
      <c r="F17" s="11" t="s">
        <v>27</v>
      </c>
      <c r="G17" s="11" t="s">
        <v>28</v>
      </c>
      <c r="I17" s="11" t="s">
        <v>34</v>
      </c>
      <c r="J17" s="11" t="s">
        <v>27</v>
      </c>
      <c r="K17" s="11" t="s">
        <v>28</v>
      </c>
      <c r="M17" s="11" t="s">
        <v>81</v>
      </c>
      <c r="N17" s="11" t="s">
        <v>82</v>
      </c>
      <c r="O17" s="11" t="s">
        <v>27</v>
      </c>
      <c r="P17" s="11" t="s">
        <v>83</v>
      </c>
    </row>
    <row r="18" customFormat="false" ht="15" hidden="false" customHeight="true" outlineLevel="0" collapsed="false">
      <c r="A18" s="12" t="s">
        <v>38</v>
      </c>
      <c r="B18" s="12" t="n">
        <v>1525</v>
      </c>
      <c r="C18" s="12" t="s">
        <v>84</v>
      </c>
      <c r="E18" s="12" t="s">
        <v>85</v>
      </c>
      <c r="F18" s="12" t="n">
        <v>253199</v>
      </c>
      <c r="G18" s="12" t="s">
        <v>86</v>
      </c>
      <c r="I18" s="12" t="s">
        <v>46</v>
      </c>
      <c r="J18" s="12" t="n">
        <v>157529</v>
      </c>
      <c r="K18" s="12" t="s">
        <v>87</v>
      </c>
      <c r="M18" s="12" t="s">
        <v>88</v>
      </c>
      <c r="N18" s="12" t="s">
        <v>48</v>
      </c>
      <c r="O18" s="12" t="n">
        <v>9866</v>
      </c>
      <c r="P18" s="12" t="n">
        <v>100</v>
      </c>
    </row>
    <row r="19" customFormat="false" ht="15" hidden="false" customHeight="true" outlineLevel="0" collapsed="false">
      <c r="A19" s="13" t="s">
        <v>48</v>
      </c>
      <c r="B19" s="13" t="n">
        <v>1644</v>
      </c>
      <c r="C19" s="13" t="s">
        <v>89</v>
      </c>
      <c r="E19" s="13" t="s">
        <v>90</v>
      </c>
      <c r="F19" s="13" t="n">
        <v>204484</v>
      </c>
      <c r="G19" s="13" t="s">
        <v>91</v>
      </c>
      <c r="I19" s="13" t="s">
        <v>56</v>
      </c>
      <c r="J19" s="13" t="n">
        <v>125467</v>
      </c>
      <c r="K19" s="13" t="s">
        <v>92</v>
      </c>
      <c r="M19" s="13" t="s">
        <v>93</v>
      </c>
      <c r="N19" s="13" t="s">
        <v>38</v>
      </c>
      <c r="O19" s="13" t="n">
        <v>9692</v>
      </c>
      <c r="P19" s="13" t="n">
        <v>69</v>
      </c>
    </row>
    <row r="20" customFormat="false" ht="15" hidden="false" customHeight="true" outlineLevel="0" collapsed="false">
      <c r="A20" s="12" t="s">
        <v>59</v>
      </c>
      <c r="B20" s="12" t="n">
        <v>1608</v>
      </c>
      <c r="C20" s="12" t="s">
        <v>94</v>
      </c>
      <c r="E20" s="12" t="s">
        <v>95</v>
      </c>
      <c r="F20" s="12" t="n">
        <v>119922</v>
      </c>
      <c r="G20" s="12" t="s">
        <v>96</v>
      </c>
      <c r="I20" s="12" t="s">
        <v>67</v>
      </c>
      <c r="J20" s="12" t="n">
        <v>97796</v>
      </c>
      <c r="K20" s="12" t="s">
        <v>97</v>
      </c>
      <c r="M20" s="12" t="s">
        <v>98</v>
      </c>
      <c r="N20" s="12" t="s">
        <v>59</v>
      </c>
      <c r="O20" s="12" t="n">
        <v>9655</v>
      </c>
      <c r="P20" s="12" t="n">
        <v>6</v>
      </c>
    </row>
    <row r="21" customFormat="false" ht="15" hidden="false" customHeight="true" outlineLevel="0" collapsed="false">
      <c r="I21" s="13" t="s">
        <v>75</v>
      </c>
      <c r="J21" s="13" t="n">
        <v>86469</v>
      </c>
      <c r="K21" s="13" t="s">
        <v>99</v>
      </c>
      <c r="M21" s="13" t="s">
        <v>100</v>
      </c>
      <c r="N21" s="13" t="s">
        <v>59</v>
      </c>
      <c r="O21" s="13" t="n">
        <v>9593</v>
      </c>
      <c r="P21" s="13" t="n">
        <v>66</v>
      </c>
    </row>
    <row r="22" customFormat="false" ht="15" hidden="false" customHeight="true" outlineLevel="0" collapsed="false">
      <c r="I22" s="12" t="s">
        <v>78</v>
      </c>
      <c r="J22" s="12" t="n">
        <v>110343</v>
      </c>
      <c r="K22" s="12" t="s">
        <v>101</v>
      </c>
      <c r="M22" s="12" t="s">
        <v>102</v>
      </c>
      <c r="N22" s="12" t="s">
        <v>48</v>
      </c>
      <c r="O22" s="12" t="n">
        <v>9578</v>
      </c>
      <c r="P22" s="12" t="n">
        <v>1</v>
      </c>
    </row>
    <row r="23" customFormat="false" ht="15" hidden="false" customHeight="true" outlineLevel="0" collapsed="false">
      <c r="M23" s="13" t="s">
        <v>103</v>
      </c>
      <c r="N23" s="13" t="s">
        <v>59</v>
      </c>
      <c r="O23" s="13" t="n">
        <v>9572</v>
      </c>
      <c r="P23" s="13" t="n">
        <v>89</v>
      </c>
    </row>
    <row r="24" customFormat="false" ht="15" hidden="false" customHeight="true" outlineLevel="0" collapsed="false">
      <c r="M24" s="12" t="s">
        <v>104</v>
      </c>
      <c r="N24" s="12" t="s">
        <v>59</v>
      </c>
      <c r="O24" s="12" t="n">
        <v>9474</v>
      </c>
      <c r="P24" s="12" t="n">
        <v>12</v>
      </c>
    </row>
    <row r="25" customFormat="false" ht="15" hidden="false" customHeight="true" outlineLevel="0" collapsed="false">
      <c r="M25" s="13" t="s">
        <v>105</v>
      </c>
      <c r="N25" s="13" t="s">
        <v>38</v>
      </c>
      <c r="O25" s="13" t="n">
        <v>9445</v>
      </c>
      <c r="P25" s="13" t="n">
        <v>60</v>
      </c>
    </row>
    <row r="26" customFormat="false" ht="15" hidden="false" customHeight="true" outlineLevel="0" collapsed="false">
      <c r="M26" s="12" t="s">
        <v>106</v>
      </c>
      <c r="N26" s="12" t="s">
        <v>59</v>
      </c>
      <c r="O26" s="12" t="n">
        <v>9436</v>
      </c>
      <c r="P26" s="12" t="n">
        <v>64</v>
      </c>
    </row>
    <row r="27" customFormat="false" ht="15" hidden="false" customHeight="true" outlineLevel="0" collapsed="false">
      <c r="M27" s="13" t="s">
        <v>107</v>
      </c>
      <c r="N27" s="13" t="s">
        <v>48</v>
      </c>
      <c r="O27" s="13" t="n">
        <v>9365</v>
      </c>
      <c r="P27" s="13" t="n">
        <v>10</v>
      </c>
    </row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</sheetData>
  <mergeCells count="27">
    <mergeCell ref="A1:X1"/>
    <mergeCell ref="A3:D3"/>
    <mergeCell ref="E3:H3"/>
    <mergeCell ref="I3:L3"/>
    <mergeCell ref="M3:P3"/>
    <mergeCell ref="Q3:T3"/>
    <mergeCell ref="U3:X3"/>
    <mergeCell ref="A4:D4"/>
    <mergeCell ref="E4:H4"/>
    <mergeCell ref="I4:L4"/>
    <mergeCell ref="M4:P4"/>
    <mergeCell ref="Q4:T4"/>
    <mergeCell ref="U4:X4"/>
    <mergeCell ref="A5:D5"/>
    <mergeCell ref="E5:H5"/>
    <mergeCell ref="I5:L5"/>
    <mergeCell ref="M5:P5"/>
    <mergeCell ref="Q5:T5"/>
    <mergeCell ref="U5:X5"/>
    <mergeCell ref="A6:D6"/>
    <mergeCell ref="E6:H6"/>
    <mergeCell ref="I6:L6"/>
    <mergeCell ref="M6:P6"/>
    <mergeCell ref="Q6:T6"/>
    <mergeCell ref="U6:X6"/>
    <mergeCell ref="A7:X7"/>
    <mergeCell ref="A8:X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X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25"/>
    <col collapsed="false" customWidth="true" hidden="false" outlineLevel="0" max="6" min="6" style="0" width="19"/>
    <col collapsed="false" customWidth="true" hidden="false" outlineLevel="0" max="7" min="7" style="0" width="2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9"/>
    <col collapsed="false" customWidth="true" hidden="false" outlineLevel="0" max="13" min="13" style="0" width="16"/>
    <col collapsed="false" customWidth="true" hidden="false" outlineLevel="0" max="14" min="14" style="0" width="15"/>
    <col collapsed="false" customWidth="true" hidden="false" outlineLevel="0" max="16" min="15" style="0" width="13"/>
    <col collapsed="false" customWidth="true" hidden="false" outlineLevel="0" max="17" min="17" style="0" width="20"/>
    <col collapsed="false" customWidth="true" hidden="false" outlineLevel="0" max="18" min="18" style="0" width="25"/>
    <col collapsed="false" customWidth="true" hidden="false" outlineLevel="0" max="19" min="19" style="0" width="21"/>
    <col collapsed="false" customWidth="true" hidden="false" outlineLevel="0" max="20" min="20" style="0" width="20"/>
    <col collapsed="false" customWidth="true" hidden="false" outlineLevel="0" max="21" min="21" style="0" width="14"/>
    <col collapsed="false" customWidth="true" hidden="false" outlineLevel="0" max="22" min="22" style="0" width="22"/>
    <col collapsed="false" customWidth="true" hidden="false" outlineLevel="0" max="24" min="23" style="0" width="13"/>
  </cols>
  <sheetData>
    <row r="1" customFormat="false" ht="37.5" hidden="false" customHeight="true" outlineLevel="0" collapsed="false">
      <c r="A1" s="15" t="s">
        <v>108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customFormat="false" ht="15" hidden="false" customHeight="false" outlineLevel="0" collapsed="false">
      <c r="A2" s="11" t="s">
        <v>109</v>
      </c>
      <c r="B2" s="11" t="s">
        <v>81</v>
      </c>
      <c r="C2" s="11" t="s">
        <v>110</v>
      </c>
      <c r="D2" s="11" t="s">
        <v>111</v>
      </c>
      <c r="E2" s="11" t="s">
        <v>112</v>
      </c>
      <c r="F2" s="11" t="s">
        <v>113</v>
      </c>
      <c r="G2" s="11" t="s">
        <v>114</v>
      </c>
      <c r="H2" s="11" t="s">
        <v>115</v>
      </c>
      <c r="I2" s="11" t="s">
        <v>116</v>
      </c>
      <c r="J2" s="11" t="s">
        <v>117</v>
      </c>
      <c r="K2" s="11" t="s">
        <v>118</v>
      </c>
      <c r="L2" s="11" t="s">
        <v>119</v>
      </c>
      <c r="M2" s="11" t="s">
        <v>120</v>
      </c>
      <c r="N2" s="11" t="s">
        <v>121</v>
      </c>
      <c r="O2" s="11" t="s">
        <v>122</v>
      </c>
      <c r="P2" s="11" t="s">
        <v>123</v>
      </c>
      <c r="Q2" s="11" t="s">
        <v>124</v>
      </c>
      <c r="R2" s="11" t="s">
        <v>125</v>
      </c>
      <c r="S2" s="11" t="s">
        <v>126</v>
      </c>
      <c r="T2" s="11" t="s">
        <v>127</v>
      </c>
      <c r="U2" s="11" t="s">
        <v>128</v>
      </c>
      <c r="V2" s="11" t="s">
        <v>129</v>
      </c>
      <c r="W2" s="11" t="s">
        <v>130</v>
      </c>
      <c r="X2" s="11" t="s">
        <v>131</v>
      </c>
    </row>
    <row r="3" customFormat="false" ht="15" hidden="false" customHeight="false" outlineLevel="0" collapsed="false">
      <c r="A3" s="16" t="s">
        <v>48</v>
      </c>
      <c r="B3" s="16" t="s">
        <v>132</v>
      </c>
      <c r="C3" s="16" t="n">
        <v>69.8080055421158</v>
      </c>
      <c r="D3" s="16" t="n">
        <v>55</v>
      </c>
      <c r="E3" s="16" t="n">
        <v>802</v>
      </c>
      <c r="F3" s="16" t="n">
        <v>8661.99679239238</v>
      </c>
      <c r="G3" s="16" t="s">
        <v>133</v>
      </c>
      <c r="H3" s="16" t="n">
        <v>58</v>
      </c>
      <c r="I3" s="16" t="n">
        <v>7</v>
      </c>
      <c r="J3" s="16" t="n">
        <v>96</v>
      </c>
      <c r="K3" s="16" t="n">
        <v>4</v>
      </c>
      <c r="L3" s="16" t="s">
        <v>57</v>
      </c>
      <c r="M3" s="16" t="n">
        <v>2.95657213943081</v>
      </c>
      <c r="N3" s="16" t="s">
        <v>67</v>
      </c>
      <c r="O3" s="16" t="s">
        <v>76</v>
      </c>
      <c r="P3" s="16" t="n">
        <v>29</v>
      </c>
      <c r="Q3" s="16" t="n">
        <v>215</v>
      </c>
      <c r="R3" s="16" t="n">
        <v>29</v>
      </c>
      <c r="S3" s="16" t="n">
        <v>46.2798792405083</v>
      </c>
      <c r="T3" s="17" t="s">
        <v>44</v>
      </c>
      <c r="U3" s="16" t="n">
        <v>0.226410360849925</v>
      </c>
      <c r="V3" s="16" t="s">
        <v>63</v>
      </c>
      <c r="W3" s="16" t="s">
        <v>90</v>
      </c>
      <c r="X3" s="16" t="n">
        <v>187.752075459204</v>
      </c>
    </row>
    <row r="4" customFormat="false" ht="15" hidden="false" customHeight="false" outlineLevel="0" collapsed="false">
      <c r="A4" s="18" t="s">
        <v>59</v>
      </c>
      <c r="B4" s="18" t="s">
        <v>134</v>
      </c>
      <c r="C4" s="18" t="n">
        <v>14.8435232750843</v>
      </c>
      <c r="D4" s="18" t="n">
        <v>95</v>
      </c>
      <c r="E4" s="18" t="n">
        <v>736</v>
      </c>
      <c r="F4" s="18" t="n">
        <v>7460.90006544585</v>
      </c>
      <c r="G4" s="18" t="s">
        <v>135</v>
      </c>
      <c r="H4" s="18" t="n">
        <v>53</v>
      </c>
      <c r="I4" s="18" t="n">
        <v>30</v>
      </c>
      <c r="J4" s="18" t="n">
        <v>37</v>
      </c>
      <c r="K4" s="18" t="n">
        <v>2</v>
      </c>
      <c r="L4" s="18" t="s">
        <v>47</v>
      </c>
      <c r="M4" s="18" t="n">
        <v>9.71657477143131</v>
      </c>
      <c r="N4" s="18" t="s">
        <v>67</v>
      </c>
      <c r="O4" s="18" t="s">
        <v>76</v>
      </c>
      <c r="P4" s="18" t="n">
        <v>23</v>
      </c>
      <c r="Q4" s="18" t="n">
        <v>517</v>
      </c>
      <c r="R4" s="18" t="n">
        <v>30</v>
      </c>
      <c r="S4" s="18" t="n">
        <v>33.61676895373</v>
      </c>
      <c r="T4" s="19" t="s">
        <v>44</v>
      </c>
      <c r="U4" s="18" t="n">
        <v>4.85406802638871</v>
      </c>
      <c r="V4" s="18" t="s">
        <v>63</v>
      </c>
      <c r="W4" s="18" t="s">
        <v>90</v>
      </c>
      <c r="X4" s="18" t="n">
        <v>503.065579149669</v>
      </c>
    </row>
    <row r="5" customFormat="false" ht="15" hidden="false" customHeight="false" outlineLevel="0" collapsed="false">
      <c r="A5" s="16" t="s">
        <v>48</v>
      </c>
      <c r="B5" s="16" t="s">
        <v>102</v>
      </c>
      <c r="C5" s="16" t="n">
        <v>11.3196832930906</v>
      </c>
      <c r="D5" s="16" t="n">
        <v>34</v>
      </c>
      <c r="E5" s="16" t="n">
        <v>8</v>
      </c>
      <c r="F5" s="16" t="n">
        <v>9577.74962586873</v>
      </c>
      <c r="G5" s="16" t="s">
        <v>136</v>
      </c>
      <c r="H5" s="16" t="n">
        <v>1</v>
      </c>
      <c r="I5" s="16" t="n">
        <v>10</v>
      </c>
      <c r="J5" s="16" t="n">
        <v>88</v>
      </c>
      <c r="K5" s="16" t="n">
        <v>2</v>
      </c>
      <c r="L5" s="16" t="s">
        <v>57</v>
      </c>
      <c r="M5" s="16" t="n">
        <v>8.05447926173216</v>
      </c>
      <c r="N5" s="16" t="s">
        <v>46</v>
      </c>
      <c r="O5" s="16" t="s">
        <v>76</v>
      </c>
      <c r="P5" s="16" t="n">
        <v>12</v>
      </c>
      <c r="Q5" s="16" t="n">
        <v>971</v>
      </c>
      <c r="R5" s="16" t="n">
        <v>27</v>
      </c>
      <c r="S5" s="16" t="n">
        <v>30.6880193482842</v>
      </c>
      <c r="T5" s="17" t="s">
        <v>44</v>
      </c>
      <c r="U5" s="16" t="n">
        <v>4.58059261919923</v>
      </c>
      <c r="V5" s="16" t="s">
        <v>42</v>
      </c>
      <c r="W5" s="16" t="s">
        <v>95</v>
      </c>
      <c r="X5" s="16" t="n">
        <v>141.920281771519</v>
      </c>
    </row>
    <row r="6" customFormat="false" ht="15" hidden="false" customHeight="false" outlineLevel="0" collapsed="false">
      <c r="A6" s="18" t="s">
        <v>59</v>
      </c>
      <c r="B6" s="18" t="s">
        <v>137</v>
      </c>
      <c r="C6" s="18" t="n">
        <v>61.1633430164377</v>
      </c>
      <c r="D6" s="18" t="n">
        <v>68</v>
      </c>
      <c r="E6" s="18" t="n">
        <v>83</v>
      </c>
      <c r="F6" s="18" t="n">
        <v>7766.83642568523</v>
      </c>
      <c r="G6" s="18" t="s">
        <v>133</v>
      </c>
      <c r="H6" s="18" t="n">
        <v>23</v>
      </c>
      <c r="I6" s="18" t="n">
        <v>13</v>
      </c>
      <c r="J6" s="18" t="n">
        <v>59</v>
      </c>
      <c r="K6" s="18" t="n">
        <v>6</v>
      </c>
      <c r="L6" s="18" t="s">
        <v>68</v>
      </c>
      <c r="M6" s="18" t="n">
        <v>1.72956856354343</v>
      </c>
      <c r="N6" s="18" t="s">
        <v>78</v>
      </c>
      <c r="O6" s="18" t="s">
        <v>71</v>
      </c>
      <c r="P6" s="18" t="n">
        <v>24</v>
      </c>
      <c r="Q6" s="18" t="n">
        <v>937</v>
      </c>
      <c r="R6" s="18" t="n">
        <v>18</v>
      </c>
      <c r="S6" s="18" t="n">
        <v>35.624741397125</v>
      </c>
      <c r="T6" s="20" t="s">
        <v>54</v>
      </c>
      <c r="U6" s="18" t="n">
        <v>4.74664862064775</v>
      </c>
      <c r="V6" s="18" t="s">
        <v>52</v>
      </c>
      <c r="W6" s="18" t="s">
        <v>85</v>
      </c>
      <c r="X6" s="18" t="n">
        <v>254.776159219287</v>
      </c>
    </row>
    <row r="7" customFormat="false" ht="15" hidden="false" customHeight="false" outlineLevel="0" collapsed="false">
      <c r="A7" s="16" t="s">
        <v>59</v>
      </c>
      <c r="B7" s="16" t="s">
        <v>138</v>
      </c>
      <c r="C7" s="16" t="n">
        <v>4.80549603634589</v>
      </c>
      <c r="D7" s="16" t="n">
        <v>26</v>
      </c>
      <c r="E7" s="16" t="n">
        <v>871</v>
      </c>
      <c r="F7" s="16" t="n">
        <v>2686.50515156745</v>
      </c>
      <c r="G7" s="16" t="s">
        <v>133</v>
      </c>
      <c r="H7" s="16" t="n">
        <v>5</v>
      </c>
      <c r="I7" s="16" t="n">
        <v>3</v>
      </c>
      <c r="J7" s="16" t="n">
        <v>56</v>
      </c>
      <c r="K7" s="16" t="n">
        <v>8</v>
      </c>
      <c r="L7" s="16" t="s">
        <v>47</v>
      </c>
      <c r="M7" s="16" t="n">
        <v>3.89054791587067</v>
      </c>
      <c r="N7" s="16" t="s">
        <v>46</v>
      </c>
      <c r="O7" s="16" t="s">
        <v>61</v>
      </c>
      <c r="P7" s="16" t="n">
        <v>5</v>
      </c>
      <c r="Q7" s="16" t="n">
        <v>414</v>
      </c>
      <c r="R7" s="16" t="n">
        <v>3</v>
      </c>
      <c r="S7" s="16" t="n">
        <v>92.0651605987128</v>
      </c>
      <c r="T7" s="21" t="s">
        <v>54</v>
      </c>
      <c r="U7" s="16" t="n">
        <v>3.145579522833</v>
      </c>
      <c r="V7" s="16" t="s">
        <v>42</v>
      </c>
      <c r="W7" s="16" t="s">
        <v>85</v>
      </c>
      <c r="X7" s="16" t="n">
        <v>923.440631711922</v>
      </c>
    </row>
    <row r="8" customFormat="false" ht="15" hidden="false" customHeight="false" outlineLevel="0" collapsed="false">
      <c r="A8" s="18" t="s">
        <v>48</v>
      </c>
      <c r="B8" s="18" t="s">
        <v>139</v>
      </c>
      <c r="C8" s="18" t="n">
        <v>1.69997601386594</v>
      </c>
      <c r="D8" s="18" t="n">
        <v>87</v>
      </c>
      <c r="E8" s="18" t="n">
        <v>147</v>
      </c>
      <c r="F8" s="18" t="n">
        <v>2828.34874597576</v>
      </c>
      <c r="G8" s="18" t="s">
        <v>133</v>
      </c>
      <c r="H8" s="18" t="n">
        <v>90</v>
      </c>
      <c r="I8" s="18" t="n">
        <v>27</v>
      </c>
      <c r="J8" s="18" t="n">
        <v>66</v>
      </c>
      <c r="K8" s="18" t="n">
        <v>3</v>
      </c>
      <c r="L8" s="18" t="s">
        <v>57</v>
      </c>
      <c r="M8" s="18" t="n">
        <v>4.44409886438229</v>
      </c>
      <c r="N8" s="18" t="s">
        <v>75</v>
      </c>
      <c r="O8" s="18" t="s">
        <v>40</v>
      </c>
      <c r="P8" s="18" t="n">
        <v>10</v>
      </c>
      <c r="Q8" s="18" t="n">
        <v>104</v>
      </c>
      <c r="R8" s="18" t="n">
        <v>17</v>
      </c>
      <c r="S8" s="18" t="n">
        <v>56.7664755574318</v>
      </c>
      <c r="T8" s="20" t="s">
        <v>54</v>
      </c>
      <c r="U8" s="18" t="n">
        <v>2.77919351157116</v>
      </c>
      <c r="V8" s="18" t="s">
        <v>63</v>
      </c>
      <c r="W8" s="18" t="s">
        <v>85</v>
      </c>
      <c r="X8" s="18" t="n">
        <v>235.461236735538</v>
      </c>
    </row>
    <row r="9" customFormat="false" ht="15" hidden="false" customHeight="false" outlineLevel="0" collapsed="false">
      <c r="A9" s="16" t="s">
        <v>59</v>
      </c>
      <c r="B9" s="16" t="s">
        <v>140</v>
      </c>
      <c r="C9" s="16" t="n">
        <v>4.07833286310795</v>
      </c>
      <c r="D9" s="16" t="n">
        <v>48</v>
      </c>
      <c r="E9" s="16" t="n">
        <v>65</v>
      </c>
      <c r="F9" s="16" t="n">
        <v>7823.47655953174</v>
      </c>
      <c r="G9" s="16" t="s">
        <v>141</v>
      </c>
      <c r="H9" s="16" t="n">
        <v>11</v>
      </c>
      <c r="I9" s="16" t="n">
        <v>15</v>
      </c>
      <c r="J9" s="16" t="n">
        <v>58</v>
      </c>
      <c r="K9" s="16" t="n">
        <v>8</v>
      </c>
      <c r="L9" s="16" t="s">
        <v>68</v>
      </c>
      <c r="M9" s="16" t="n">
        <v>3.880763302952</v>
      </c>
      <c r="N9" s="16" t="s">
        <v>67</v>
      </c>
      <c r="O9" s="16" t="s">
        <v>71</v>
      </c>
      <c r="P9" s="16" t="n">
        <v>14</v>
      </c>
      <c r="Q9" s="16" t="n">
        <v>314</v>
      </c>
      <c r="R9" s="16" t="n">
        <v>24</v>
      </c>
      <c r="S9" s="16" t="n">
        <v>1.08506856958707</v>
      </c>
      <c r="T9" s="17" t="s">
        <v>44</v>
      </c>
      <c r="U9" s="16" t="n">
        <v>1.00091061930414</v>
      </c>
      <c r="V9" s="16" t="s">
        <v>73</v>
      </c>
      <c r="W9" s="16" t="s">
        <v>85</v>
      </c>
      <c r="X9" s="16" t="n">
        <v>134.369096861032</v>
      </c>
    </row>
    <row r="10" customFormat="false" ht="15" hidden="false" customHeight="false" outlineLevel="0" collapsed="false">
      <c r="A10" s="18" t="s">
        <v>38</v>
      </c>
      <c r="B10" s="18" t="s">
        <v>142</v>
      </c>
      <c r="C10" s="18" t="n">
        <v>42.9583843824601</v>
      </c>
      <c r="D10" s="18" t="n">
        <v>59</v>
      </c>
      <c r="E10" s="18" t="n">
        <v>426</v>
      </c>
      <c r="F10" s="18" t="n">
        <v>8496.10381308984</v>
      </c>
      <c r="G10" s="18" t="s">
        <v>135</v>
      </c>
      <c r="H10" s="18" t="n">
        <v>93</v>
      </c>
      <c r="I10" s="18" t="n">
        <v>17</v>
      </c>
      <c r="J10" s="18" t="n">
        <v>11</v>
      </c>
      <c r="K10" s="18" t="n">
        <v>1</v>
      </c>
      <c r="L10" s="18" t="s">
        <v>57</v>
      </c>
      <c r="M10" s="18" t="n">
        <v>2.34833878441778</v>
      </c>
      <c r="N10" s="18" t="s">
        <v>75</v>
      </c>
      <c r="O10" s="18" t="s">
        <v>40</v>
      </c>
      <c r="P10" s="18" t="n">
        <v>22</v>
      </c>
      <c r="Q10" s="18" t="n">
        <v>564</v>
      </c>
      <c r="R10" s="18" t="n">
        <v>1</v>
      </c>
      <c r="S10" s="18" t="n">
        <v>99.4661086035991</v>
      </c>
      <c r="T10" s="20" t="s">
        <v>54</v>
      </c>
      <c r="U10" s="18" t="n">
        <v>0.398177186850651</v>
      </c>
      <c r="V10" s="18" t="s">
        <v>63</v>
      </c>
      <c r="W10" s="18" t="s">
        <v>95</v>
      </c>
      <c r="X10" s="18" t="n">
        <v>802.056311817559</v>
      </c>
    </row>
    <row r="11" customFormat="false" ht="15" hidden="false" customHeight="false" outlineLevel="0" collapsed="false">
      <c r="A11" s="16" t="s">
        <v>38</v>
      </c>
      <c r="B11" s="16" t="s">
        <v>143</v>
      </c>
      <c r="C11" s="16" t="n">
        <v>68.7175967485273</v>
      </c>
      <c r="D11" s="16" t="n">
        <v>78</v>
      </c>
      <c r="E11" s="16" t="n">
        <v>150</v>
      </c>
      <c r="F11" s="16" t="n">
        <v>7517.36321063113</v>
      </c>
      <c r="G11" s="16" t="s">
        <v>135</v>
      </c>
      <c r="H11" s="16" t="n">
        <v>5</v>
      </c>
      <c r="I11" s="16" t="n">
        <v>10</v>
      </c>
      <c r="J11" s="16" t="n">
        <v>15</v>
      </c>
      <c r="K11" s="16" t="n">
        <v>7</v>
      </c>
      <c r="L11" s="16" t="s">
        <v>68</v>
      </c>
      <c r="M11" s="16" t="n">
        <v>3.40473385708303</v>
      </c>
      <c r="N11" s="16" t="s">
        <v>75</v>
      </c>
      <c r="O11" s="16" t="s">
        <v>76</v>
      </c>
      <c r="P11" s="16" t="n">
        <v>13</v>
      </c>
      <c r="Q11" s="16" t="n">
        <v>769</v>
      </c>
      <c r="R11" s="16" t="n">
        <v>8</v>
      </c>
      <c r="S11" s="16" t="n">
        <v>11.4230271395657</v>
      </c>
      <c r="T11" s="17" t="s">
        <v>44</v>
      </c>
      <c r="U11" s="16" t="n">
        <v>2.70986269110996</v>
      </c>
      <c r="V11" s="16" t="s">
        <v>73</v>
      </c>
      <c r="W11" s="16" t="s">
        <v>90</v>
      </c>
      <c r="X11" s="16" t="n">
        <v>505.557134225464</v>
      </c>
    </row>
    <row r="12" customFormat="false" ht="15" hidden="false" customHeight="false" outlineLevel="0" collapsed="false">
      <c r="A12" s="18" t="s">
        <v>59</v>
      </c>
      <c r="B12" s="18" t="s">
        <v>144</v>
      </c>
      <c r="C12" s="18" t="n">
        <v>64.0157329412785</v>
      </c>
      <c r="D12" s="18" t="n">
        <v>35</v>
      </c>
      <c r="E12" s="18" t="n">
        <v>980</v>
      </c>
      <c r="F12" s="18" t="n">
        <v>4971.14598758556</v>
      </c>
      <c r="G12" s="18" t="s">
        <v>136</v>
      </c>
      <c r="H12" s="18" t="n">
        <v>14</v>
      </c>
      <c r="I12" s="18" t="n">
        <v>27</v>
      </c>
      <c r="J12" s="18" t="n">
        <v>83</v>
      </c>
      <c r="K12" s="18" t="n">
        <v>1</v>
      </c>
      <c r="L12" s="18" t="s">
        <v>47</v>
      </c>
      <c r="M12" s="18" t="n">
        <v>7.16664529104822</v>
      </c>
      <c r="N12" s="18" t="s">
        <v>56</v>
      </c>
      <c r="O12" s="18" t="s">
        <v>50</v>
      </c>
      <c r="P12" s="18" t="n">
        <v>29</v>
      </c>
      <c r="Q12" s="18" t="n">
        <v>963</v>
      </c>
      <c r="R12" s="18" t="n">
        <v>23</v>
      </c>
      <c r="S12" s="18" t="n">
        <v>47.9576016349516</v>
      </c>
      <c r="T12" s="19" t="s">
        <v>44</v>
      </c>
      <c r="U12" s="18" t="n">
        <v>3.84461447876759</v>
      </c>
      <c r="V12" s="18" t="s">
        <v>52</v>
      </c>
      <c r="W12" s="18" t="s">
        <v>90</v>
      </c>
      <c r="X12" s="18" t="n">
        <v>995.929461498642</v>
      </c>
    </row>
    <row r="13" customFormat="false" ht="15" hidden="false" customHeight="false" outlineLevel="0" collapsed="false">
      <c r="A13" s="16" t="s">
        <v>59</v>
      </c>
      <c r="B13" s="16" t="s">
        <v>145</v>
      </c>
      <c r="C13" s="16" t="n">
        <v>15.7077956819121</v>
      </c>
      <c r="D13" s="16" t="n">
        <v>11</v>
      </c>
      <c r="E13" s="16" t="n">
        <v>996</v>
      </c>
      <c r="F13" s="16" t="n">
        <v>2330.96580209195</v>
      </c>
      <c r="G13" s="16" t="s">
        <v>133</v>
      </c>
      <c r="H13" s="16" t="n">
        <v>51</v>
      </c>
      <c r="I13" s="16" t="n">
        <v>13</v>
      </c>
      <c r="J13" s="16" t="n">
        <v>80</v>
      </c>
      <c r="K13" s="16" t="n">
        <v>2</v>
      </c>
      <c r="L13" s="16" t="s">
        <v>68</v>
      </c>
      <c r="M13" s="16" t="n">
        <v>8.67321121127861</v>
      </c>
      <c r="N13" s="16" t="s">
        <v>78</v>
      </c>
      <c r="O13" s="16" t="s">
        <v>71</v>
      </c>
      <c r="P13" s="16" t="n">
        <v>18</v>
      </c>
      <c r="Q13" s="16" t="n">
        <v>830</v>
      </c>
      <c r="R13" s="16" t="n">
        <v>5</v>
      </c>
      <c r="S13" s="16" t="n">
        <v>96.5273527853109</v>
      </c>
      <c r="T13" s="22" t="s">
        <v>65</v>
      </c>
      <c r="U13" s="16" t="n">
        <v>1.72731392835594</v>
      </c>
      <c r="V13" s="16" t="s">
        <v>63</v>
      </c>
      <c r="W13" s="16" t="s">
        <v>90</v>
      </c>
      <c r="X13" s="16" t="n">
        <v>806.103177702923</v>
      </c>
    </row>
    <row r="14" customFormat="false" ht="15" hidden="false" customHeight="false" outlineLevel="0" collapsed="false">
      <c r="A14" s="18" t="s">
        <v>59</v>
      </c>
      <c r="B14" s="18" t="s">
        <v>146</v>
      </c>
      <c r="C14" s="18" t="n">
        <v>90.6354599822887</v>
      </c>
      <c r="D14" s="18" t="n">
        <v>95</v>
      </c>
      <c r="E14" s="18" t="n">
        <v>960</v>
      </c>
      <c r="F14" s="18" t="n">
        <v>6099.94411558145</v>
      </c>
      <c r="G14" s="18" t="s">
        <v>135</v>
      </c>
      <c r="H14" s="18" t="n">
        <v>46</v>
      </c>
      <c r="I14" s="18" t="n">
        <v>23</v>
      </c>
      <c r="J14" s="18" t="n">
        <v>60</v>
      </c>
      <c r="K14" s="18" t="n">
        <v>1</v>
      </c>
      <c r="L14" s="18" t="s">
        <v>47</v>
      </c>
      <c r="M14" s="18" t="n">
        <v>4.52394312431666</v>
      </c>
      <c r="N14" s="18" t="s">
        <v>56</v>
      </c>
      <c r="O14" s="18" t="s">
        <v>71</v>
      </c>
      <c r="P14" s="18" t="n">
        <v>28</v>
      </c>
      <c r="Q14" s="18" t="n">
        <v>362</v>
      </c>
      <c r="R14" s="18" t="n">
        <v>11</v>
      </c>
      <c r="S14" s="18" t="n">
        <v>27.5923630866637</v>
      </c>
      <c r="T14" s="19" t="s">
        <v>44</v>
      </c>
      <c r="U14" s="18" t="n">
        <v>0.0211698213729943</v>
      </c>
      <c r="V14" s="18" t="s">
        <v>42</v>
      </c>
      <c r="W14" s="18" t="s">
        <v>85</v>
      </c>
      <c r="X14" s="18" t="n">
        <v>126.723033409407</v>
      </c>
    </row>
    <row r="15" customFormat="false" ht="15" hidden="false" customHeight="false" outlineLevel="0" collapsed="false">
      <c r="A15" s="16" t="s">
        <v>48</v>
      </c>
      <c r="B15" s="16" t="s">
        <v>147</v>
      </c>
      <c r="C15" s="16" t="n">
        <v>71.2133890753601</v>
      </c>
      <c r="D15" s="16" t="n">
        <v>41</v>
      </c>
      <c r="E15" s="16" t="n">
        <v>336</v>
      </c>
      <c r="F15" s="16" t="n">
        <v>2873.74144602144</v>
      </c>
      <c r="G15" s="16" t="s">
        <v>136</v>
      </c>
      <c r="H15" s="16" t="n">
        <v>100</v>
      </c>
      <c r="I15" s="16" t="n">
        <v>30</v>
      </c>
      <c r="J15" s="16" t="n">
        <v>85</v>
      </c>
      <c r="K15" s="16" t="n">
        <v>4</v>
      </c>
      <c r="L15" s="16" t="s">
        <v>47</v>
      </c>
      <c r="M15" s="16" t="n">
        <v>1.32527401018452</v>
      </c>
      <c r="N15" s="16" t="s">
        <v>75</v>
      </c>
      <c r="O15" s="16" t="s">
        <v>71</v>
      </c>
      <c r="P15" s="16" t="n">
        <v>3</v>
      </c>
      <c r="Q15" s="16" t="n">
        <v>563</v>
      </c>
      <c r="R15" s="16" t="n">
        <v>3</v>
      </c>
      <c r="S15" s="16" t="n">
        <v>32.321286213424</v>
      </c>
      <c r="T15" s="21" t="s">
        <v>54</v>
      </c>
      <c r="U15" s="16" t="n">
        <v>2.16125374755591</v>
      </c>
      <c r="V15" s="16" t="s">
        <v>63</v>
      </c>
      <c r="W15" s="16" t="s">
        <v>90</v>
      </c>
      <c r="X15" s="16" t="n">
        <v>402.968789073771</v>
      </c>
    </row>
    <row r="16" customFormat="false" ht="15" hidden="false" customHeight="false" outlineLevel="0" collapsed="false">
      <c r="A16" s="18" t="s">
        <v>59</v>
      </c>
      <c r="B16" s="18" t="s">
        <v>148</v>
      </c>
      <c r="C16" s="18" t="n">
        <v>16.16039331738</v>
      </c>
      <c r="D16" s="18" t="n">
        <v>5</v>
      </c>
      <c r="E16" s="18" t="n">
        <v>249</v>
      </c>
      <c r="F16" s="18" t="n">
        <v>4052.73841623787</v>
      </c>
      <c r="G16" s="18" t="s">
        <v>141</v>
      </c>
      <c r="H16" s="18" t="n">
        <v>80</v>
      </c>
      <c r="I16" s="18" t="n">
        <v>8</v>
      </c>
      <c r="J16" s="18" t="n">
        <v>48</v>
      </c>
      <c r="K16" s="18" t="n">
        <v>9</v>
      </c>
      <c r="L16" s="18" t="s">
        <v>47</v>
      </c>
      <c r="M16" s="18" t="n">
        <v>9.53728306110834</v>
      </c>
      <c r="N16" s="18" t="s">
        <v>78</v>
      </c>
      <c r="O16" s="18" t="s">
        <v>40</v>
      </c>
      <c r="P16" s="18" t="n">
        <v>23</v>
      </c>
      <c r="Q16" s="18" t="n">
        <v>173</v>
      </c>
      <c r="R16" s="18" t="n">
        <v>10</v>
      </c>
      <c r="S16" s="18" t="n">
        <v>97.8290501101733</v>
      </c>
      <c r="T16" s="19" t="s">
        <v>44</v>
      </c>
      <c r="U16" s="18" t="n">
        <v>1.63107423007154</v>
      </c>
      <c r="V16" s="18" t="s">
        <v>63</v>
      </c>
      <c r="W16" s="18" t="s">
        <v>90</v>
      </c>
      <c r="X16" s="18" t="n">
        <v>547.241005160969</v>
      </c>
    </row>
    <row r="17" customFormat="false" ht="15" hidden="false" customHeight="false" outlineLevel="0" collapsed="false">
      <c r="A17" s="16" t="s">
        <v>59</v>
      </c>
      <c r="B17" s="16" t="s">
        <v>149</v>
      </c>
      <c r="C17" s="16" t="n">
        <v>99.1713286386242</v>
      </c>
      <c r="D17" s="16" t="n">
        <v>26</v>
      </c>
      <c r="E17" s="16" t="n">
        <v>562</v>
      </c>
      <c r="F17" s="16" t="n">
        <v>8653.5709264698</v>
      </c>
      <c r="G17" s="16" t="s">
        <v>133</v>
      </c>
      <c r="H17" s="16" t="n">
        <v>54</v>
      </c>
      <c r="I17" s="16" t="n">
        <v>29</v>
      </c>
      <c r="J17" s="16" t="n">
        <v>78</v>
      </c>
      <c r="K17" s="16" t="n">
        <v>5</v>
      </c>
      <c r="L17" s="16" t="s">
        <v>57</v>
      </c>
      <c r="M17" s="16" t="n">
        <v>2.03977018944933</v>
      </c>
      <c r="N17" s="16" t="s">
        <v>46</v>
      </c>
      <c r="O17" s="16" t="s">
        <v>71</v>
      </c>
      <c r="P17" s="16" t="n">
        <v>25</v>
      </c>
      <c r="Q17" s="16" t="n">
        <v>558</v>
      </c>
      <c r="R17" s="16" t="n">
        <v>14</v>
      </c>
      <c r="S17" s="16" t="n">
        <v>5.79143662986299</v>
      </c>
      <c r="T17" s="17" t="s">
        <v>44</v>
      </c>
      <c r="U17" s="16" t="n">
        <v>0.100682851565094</v>
      </c>
      <c r="V17" s="16" t="s">
        <v>42</v>
      </c>
      <c r="W17" s="16" t="s">
        <v>90</v>
      </c>
      <c r="X17" s="16" t="n">
        <v>929.23528996089</v>
      </c>
    </row>
    <row r="18" customFormat="false" ht="15" hidden="false" customHeight="false" outlineLevel="0" collapsed="false">
      <c r="A18" s="18" t="s">
        <v>59</v>
      </c>
      <c r="B18" s="18" t="s">
        <v>150</v>
      </c>
      <c r="C18" s="18" t="n">
        <v>36.9892449286269</v>
      </c>
      <c r="D18" s="18" t="n">
        <v>94</v>
      </c>
      <c r="E18" s="18" t="n">
        <v>469</v>
      </c>
      <c r="F18" s="18" t="n">
        <v>5442.08678539767</v>
      </c>
      <c r="G18" s="18" t="s">
        <v>133</v>
      </c>
      <c r="H18" s="18" t="n">
        <v>9</v>
      </c>
      <c r="I18" s="18" t="n">
        <v>8</v>
      </c>
      <c r="J18" s="18" t="n">
        <v>69</v>
      </c>
      <c r="K18" s="18" t="n">
        <v>7</v>
      </c>
      <c r="L18" s="18" t="s">
        <v>57</v>
      </c>
      <c r="M18" s="18" t="n">
        <v>2.4220397232752</v>
      </c>
      <c r="N18" s="18" t="s">
        <v>46</v>
      </c>
      <c r="O18" s="18" t="s">
        <v>40</v>
      </c>
      <c r="P18" s="18" t="n">
        <v>14</v>
      </c>
      <c r="Q18" s="18" t="n">
        <v>580</v>
      </c>
      <c r="R18" s="18" t="n">
        <v>7</v>
      </c>
      <c r="S18" s="18" t="n">
        <v>97.1212817514743</v>
      </c>
      <c r="T18" s="23" t="s">
        <v>65</v>
      </c>
      <c r="U18" s="18" t="n">
        <v>2.26440576119855</v>
      </c>
      <c r="V18" s="18" t="s">
        <v>73</v>
      </c>
      <c r="W18" s="18" t="s">
        <v>90</v>
      </c>
      <c r="X18" s="18" t="n">
        <v>127.861800001625</v>
      </c>
    </row>
    <row r="19" customFormat="false" ht="15" hidden="false" customHeight="false" outlineLevel="0" collapsed="false">
      <c r="A19" s="16" t="s">
        <v>59</v>
      </c>
      <c r="B19" s="16" t="s">
        <v>151</v>
      </c>
      <c r="C19" s="16" t="n">
        <v>7.54717210979127</v>
      </c>
      <c r="D19" s="16" t="n">
        <v>74</v>
      </c>
      <c r="E19" s="16" t="n">
        <v>280</v>
      </c>
      <c r="F19" s="16" t="n">
        <v>6453.79796817629</v>
      </c>
      <c r="G19" s="16" t="s">
        <v>135</v>
      </c>
      <c r="H19" s="16" t="n">
        <v>2</v>
      </c>
      <c r="I19" s="16" t="n">
        <v>5</v>
      </c>
      <c r="J19" s="16" t="n">
        <v>78</v>
      </c>
      <c r="K19" s="16" t="n">
        <v>1</v>
      </c>
      <c r="L19" s="16" t="s">
        <v>57</v>
      </c>
      <c r="M19" s="16" t="n">
        <v>4.1913245857055</v>
      </c>
      <c r="N19" s="16" t="s">
        <v>46</v>
      </c>
      <c r="O19" s="16" t="s">
        <v>40</v>
      </c>
      <c r="P19" s="16" t="n">
        <v>3</v>
      </c>
      <c r="Q19" s="16" t="n">
        <v>399</v>
      </c>
      <c r="R19" s="16" t="n">
        <v>21</v>
      </c>
      <c r="S19" s="16" t="n">
        <v>77.10634249785</v>
      </c>
      <c r="T19" s="22" t="s">
        <v>65</v>
      </c>
      <c r="U19" s="16" t="n">
        <v>1.01256308925805</v>
      </c>
      <c r="V19" s="16" t="s">
        <v>42</v>
      </c>
      <c r="W19" s="16" t="s">
        <v>85</v>
      </c>
      <c r="X19" s="16" t="n">
        <v>865.52577977124</v>
      </c>
    </row>
    <row r="20" customFormat="false" ht="15" hidden="false" customHeight="false" outlineLevel="0" collapsed="false">
      <c r="A20" s="18" t="s">
        <v>38</v>
      </c>
      <c r="B20" s="18" t="s">
        <v>152</v>
      </c>
      <c r="C20" s="18" t="n">
        <v>81.462534369237</v>
      </c>
      <c r="D20" s="18" t="n">
        <v>82</v>
      </c>
      <c r="E20" s="18" t="n">
        <v>126</v>
      </c>
      <c r="F20" s="18" t="n">
        <v>2629.39643484526</v>
      </c>
      <c r="G20" s="18" t="s">
        <v>135</v>
      </c>
      <c r="H20" s="18" t="n">
        <v>45</v>
      </c>
      <c r="I20" s="18" t="n">
        <v>17</v>
      </c>
      <c r="J20" s="18" t="n">
        <v>85</v>
      </c>
      <c r="K20" s="18" t="n">
        <v>9</v>
      </c>
      <c r="L20" s="18" t="s">
        <v>68</v>
      </c>
      <c r="M20" s="18" t="n">
        <v>3.58541895823234</v>
      </c>
      <c r="N20" s="18" t="s">
        <v>46</v>
      </c>
      <c r="O20" s="18" t="s">
        <v>50</v>
      </c>
      <c r="P20" s="18" t="n">
        <v>7</v>
      </c>
      <c r="Q20" s="18" t="n">
        <v>453</v>
      </c>
      <c r="R20" s="18" t="n">
        <v>16</v>
      </c>
      <c r="S20" s="18" t="n">
        <v>47.6796803683553</v>
      </c>
      <c r="T20" s="20" t="s">
        <v>54</v>
      </c>
      <c r="U20" s="18" t="n">
        <v>0.102020754918176</v>
      </c>
      <c r="V20" s="18" t="s">
        <v>42</v>
      </c>
      <c r="W20" s="18" t="s">
        <v>95</v>
      </c>
      <c r="X20" s="18" t="n">
        <v>670.93439079241</v>
      </c>
    </row>
    <row r="21" customFormat="false" ht="15" hidden="false" customHeight="false" outlineLevel="0" collapsed="false">
      <c r="A21" s="16" t="s">
        <v>48</v>
      </c>
      <c r="B21" s="16" t="s">
        <v>107</v>
      </c>
      <c r="C21" s="16" t="n">
        <v>36.4436277704609</v>
      </c>
      <c r="D21" s="16" t="n">
        <v>23</v>
      </c>
      <c r="E21" s="16" t="n">
        <v>620</v>
      </c>
      <c r="F21" s="16" t="n">
        <v>9364.67350507617</v>
      </c>
      <c r="G21" s="16" t="s">
        <v>136</v>
      </c>
      <c r="H21" s="16" t="n">
        <v>10</v>
      </c>
      <c r="I21" s="16" t="n">
        <v>10</v>
      </c>
      <c r="J21" s="16" t="n">
        <v>46</v>
      </c>
      <c r="K21" s="16" t="n">
        <v>8</v>
      </c>
      <c r="L21" s="16" t="s">
        <v>68</v>
      </c>
      <c r="M21" s="16" t="n">
        <v>4.33922471411071</v>
      </c>
      <c r="N21" s="16" t="s">
        <v>56</v>
      </c>
      <c r="O21" s="16" t="s">
        <v>71</v>
      </c>
      <c r="P21" s="16" t="n">
        <v>18</v>
      </c>
      <c r="Q21" s="16" t="n">
        <v>374</v>
      </c>
      <c r="R21" s="16" t="n">
        <v>17</v>
      </c>
      <c r="S21" s="16" t="n">
        <v>27.1079808548439</v>
      </c>
      <c r="T21" s="17" t="s">
        <v>44</v>
      </c>
      <c r="U21" s="16" t="n">
        <v>2.23193911072926</v>
      </c>
      <c r="V21" s="16" t="s">
        <v>73</v>
      </c>
      <c r="W21" s="16" t="s">
        <v>85</v>
      </c>
      <c r="X21" s="16" t="n">
        <v>593.480258720652</v>
      </c>
    </row>
    <row r="22" customFormat="false" ht="15" hidden="false" customHeight="false" outlineLevel="0" collapsed="false">
      <c r="A22" s="18" t="s">
        <v>59</v>
      </c>
      <c r="B22" s="18" t="s">
        <v>153</v>
      </c>
      <c r="C22" s="18" t="n">
        <v>51.1238700879647</v>
      </c>
      <c r="D22" s="18" t="n">
        <v>100</v>
      </c>
      <c r="E22" s="18" t="n">
        <v>187</v>
      </c>
      <c r="F22" s="18" t="n">
        <v>2553.49558499122</v>
      </c>
      <c r="G22" s="18" t="s">
        <v>136</v>
      </c>
      <c r="H22" s="18" t="n">
        <v>48</v>
      </c>
      <c r="I22" s="18" t="n">
        <v>11</v>
      </c>
      <c r="J22" s="18" t="n">
        <v>94</v>
      </c>
      <c r="K22" s="18" t="n">
        <v>3</v>
      </c>
      <c r="L22" s="18" t="s">
        <v>47</v>
      </c>
      <c r="M22" s="18" t="n">
        <v>4.74263588284188</v>
      </c>
      <c r="N22" s="18" t="s">
        <v>75</v>
      </c>
      <c r="O22" s="18" t="s">
        <v>50</v>
      </c>
      <c r="P22" s="18" t="n">
        <v>20</v>
      </c>
      <c r="Q22" s="18" t="n">
        <v>694</v>
      </c>
      <c r="R22" s="18" t="n">
        <v>16</v>
      </c>
      <c r="S22" s="18" t="n">
        <v>82.3733205879902</v>
      </c>
      <c r="T22" s="20" t="s">
        <v>54</v>
      </c>
      <c r="U22" s="18" t="n">
        <v>3.64645086541703</v>
      </c>
      <c r="V22" s="18" t="s">
        <v>63</v>
      </c>
      <c r="W22" s="18" t="s">
        <v>95</v>
      </c>
      <c r="X22" s="18" t="n">
        <v>477.307631090903</v>
      </c>
    </row>
    <row r="23" customFormat="false" ht="15" hidden="false" customHeight="false" outlineLevel="0" collapsed="false">
      <c r="A23" s="16" t="s">
        <v>59</v>
      </c>
      <c r="B23" s="16" t="s">
        <v>154</v>
      </c>
      <c r="C23" s="16" t="n">
        <v>96.3410724399634</v>
      </c>
      <c r="D23" s="16" t="n">
        <v>22</v>
      </c>
      <c r="E23" s="16" t="n">
        <v>320</v>
      </c>
      <c r="F23" s="16" t="n">
        <v>8128.02769685119</v>
      </c>
      <c r="G23" s="16" t="s">
        <v>136</v>
      </c>
      <c r="H23" s="16" t="n">
        <v>27</v>
      </c>
      <c r="I23" s="16" t="n">
        <v>12</v>
      </c>
      <c r="J23" s="16" t="n">
        <v>68</v>
      </c>
      <c r="K23" s="16" t="n">
        <v>6</v>
      </c>
      <c r="L23" s="16" t="s">
        <v>47</v>
      </c>
      <c r="M23" s="16" t="n">
        <v>8.87833465092684</v>
      </c>
      <c r="N23" s="16" t="s">
        <v>46</v>
      </c>
      <c r="O23" s="16" t="s">
        <v>50</v>
      </c>
      <c r="P23" s="16" t="n">
        <v>29</v>
      </c>
      <c r="Q23" s="16" t="n">
        <v>309</v>
      </c>
      <c r="R23" s="16" t="n">
        <v>6</v>
      </c>
      <c r="S23" s="16" t="n">
        <v>65.6862596084886</v>
      </c>
      <c r="T23" s="22" t="s">
        <v>65</v>
      </c>
      <c r="U23" s="16" t="n">
        <v>4.23141657353454</v>
      </c>
      <c r="V23" s="16" t="s">
        <v>42</v>
      </c>
      <c r="W23" s="16" t="s">
        <v>90</v>
      </c>
      <c r="X23" s="16" t="n">
        <v>493.871215316206</v>
      </c>
    </row>
    <row r="24" customFormat="false" ht="15" hidden="false" customHeight="false" outlineLevel="0" collapsed="false">
      <c r="A24" s="18" t="s">
        <v>38</v>
      </c>
      <c r="B24" s="18" t="s">
        <v>155</v>
      </c>
      <c r="C24" s="18" t="n">
        <v>84.8938689849508</v>
      </c>
      <c r="D24" s="18" t="n">
        <v>60</v>
      </c>
      <c r="E24" s="18" t="n">
        <v>601</v>
      </c>
      <c r="F24" s="18" t="n">
        <v>7087.05269635744</v>
      </c>
      <c r="G24" s="18" t="s">
        <v>136</v>
      </c>
      <c r="H24" s="18" t="n">
        <v>69</v>
      </c>
      <c r="I24" s="18" t="n">
        <v>25</v>
      </c>
      <c r="J24" s="18" t="n">
        <v>7</v>
      </c>
      <c r="K24" s="18" t="n">
        <v>6</v>
      </c>
      <c r="L24" s="18" t="s">
        <v>57</v>
      </c>
      <c r="M24" s="18" t="n">
        <v>6.0378837692183</v>
      </c>
      <c r="N24" s="18" t="s">
        <v>78</v>
      </c>
      <c r="O24" s="18" t="s">
        <v>50</v>
      </c>
      <c r="P24" s="18" t="n">
        <v>19</v>
      </c>
      <c r="Q24" s="18" t="n">
        <v>791</v>
      </c>
      <c r="R24" s="18" t="n">
        <v>4</v>
      </c>
      <c r="S24" s="18" t="n">
        <v>61.7357289541609</v>
      </c>
      <c r="T24" s="19" t="s">
        <v>44</v>
      </c>
      <c r="U24" s="18" t="n">
        <v>0.0186075676310149</v>
      </c>
      <c r="V24" s="18" t="s">
        <v>42</v>
      </c>
      <c r="W24" s="18" t="s">
        <v>95</v>
      </c>
      <c r="X24" s="18" t="n">
        <v>523.360914720158</v>
      </c>
    </row>
    <row r="25" customFormat="false" ht="15" hidden="false" customHeight="false" outlineLevel="0" collapsed="false">
      <c r="A25" s="16" t="s">
        <v>48</v>
      </c>
      <c r="B25" s="16" t="s">
        <v>156</v>
      </c>
      <c r="C25" s="16" t="n">
        <v>27.679780886502</v>
      </c>
      <c r="D25" s="16" t="n">
        <v>55</v>
      </c>
      <c r="E25" s="16" t="n">
        <v>884</v>
      </c>
      <c r="F25" s="16" t="n">
        <v>2390.80786655617</v>
      </c>
      <c r="G25" s="16" t="s">
        <v>136</v>
      </c>
      <c r="H25" s="16" t="n">
        <v>71</v>
      </c>
      <c r="I25" s="16" t="n">
        <v>1</v>
      </c>
      <c r="J25" s="16" t="n">
        <v>63</v>
      </c>
      <c r="K25" s="16" t="n">
        <v>10</v>
      </c>
      <c r="L25" s="16" t="s">
        <v>47</v>
      </c>
      <c r="M25" s="16" t="n">
        <v>9.56764892092304</v>
      </c>
      <c r="N25" s="16" t="s">
        <v>75</v>
      </c>
      <c r="O25" s="16" t="s">
        <v>71</v>
      </c>
      <c r="P25" s="16" t="n">
        <v>22</v>
      </c>
      <c r="Q25" s="16" t="n">
        <v>780</v>
      </c>
      <c r="R25" s="16" t="n">
        <v>28</v>
      </c>
      <c r="S25" s="16" t="n">
        <v>50.1208396129774</v>
      </c>
      <c r="T25" s="21" t="s">
        <v>54</v>
      </c>
      <c r="U25" s="16" t="n">
        <v>2.59127547321112</v>
      </c>
      <c r="V25" s="16" t="s">
        <v>52</v>
      </c>
      <c r="W25" s="16" t="s">
        <v>95</v>
      </c>
      <c r="X25" s="16" t="n">
        <v>205.571995826947</v>
      </c>
    </row>
    <row r="26" customFormat="false" ht="15" hidden="false" customHeight="false" outlineLevel="0" collapsed="false">
      <c r="A26" s="18" t="s">
        <v>38</v>
      </c>
      <c r="B26" s="18" t="s">
        <v>157</v>
      </c>
      <c r="C26" s="18" t="n">
        <v>4.32434118586416</v>
      </c>
      <c r="D26" s="18" t="n">
        <v>30</v>
      </c>
      <c r="E26" s="18" t="n">
        <v>391</v>
      </c>
      <c r="F26" s="18" t="n">
        <v>8858.36757101148</v>
      </c>
      <c r="G26" s="18" t="s">
        <v>136</v>
      </c>
      <c r="H26" s="18" t="n">
        <v>84</v>
      </c>
      <c r="I26" s="18" t="n">
        <v>5</v>
      </c>
      <c r="J26" s="18" t="n">
        <v>29</v>
      </c>
      <c r="K26" s="18" t="n">
        <v>7</v>
      </c>
      <c r="L26" s="18" t="s">
        <v>47</v>
      </c>
      <c r="M26" s="18" t="n">
        <v>2.92485760114555</v>
      </c>
      <c r="N26" s="18" t="s">
        <v>78</v>
      </c>
      <c r="O26" s="18" t="s">
        <v>71</v>
      </c>
      <c r="P26" s="18" t="n">
        <v>11</v>
      </c>
      <c r="Q26" s="18" t="n">
        <v>568</v>
      </c>
      <c r="R26" s="18" t="n">
        <v>29</v>
      </c>
      <c r="S26" s="18" t="n">
        <v>98.6099572427039</v>
      </c>
      <c r="T26" s="19" t="s">
        <v>44</v>
      </c>
      <c r="U26" s="18" t="n">
        <v>1.34229156272273</v>
      </c>
      <c r="V26" s="18" t="s">
        <v>52</v>
      </c>
      <c r="W26" s="18" t="s">
        <v>85</v>
      </c>
      <c r="X26" s="18" t="n">
        <v>196.329446112413</v>
      </c>
    </row>
    <row r="27" customFormat="false" ht="15" hidden="false" customHeight="false" outlineLevel="0" collapsed="false">
      <c r="A27" s="16" t="s">
        <v>48</v>
      </c>
      <c r="B27" s="16" t="s">
        <v>158</v>
      </c>
      <c r="C27" s="16" t="n">
        <v>4.15630835931111</v>
      </c>
      <c r="D27" s="16" t="n">
        <v>32</v>
      </c>
      <c r="E27" s="16" t="n">
        <v>209</v>
      </c>
      <c r="F27" s="16" t="n">
        <v>9049.0778609399</v>
      </c>
      <c r="G27" s="16" t="s">
        <v>141</v>
      </c>
      <c r="H27" s="16" t="n">
        <v>4</v>
      </c>
      <c r="I27" s="16" t="n">
        <v>26</v>
      </c>
      <c r="J27" s="16" t="n">
        <v>2</v>
      </c>
      <c r="K27" s="16" t="n">
        <v>8</v>
      </c>
      <c r="L27" s="16" t="s">
        <v>68</v>
      </c>
      <c r="M27" s="16" t="n">
        <v>9.74129168928437</v>
      </c>
      <c r="N27" s="16" t="s">
        <v>56</v>
      </c>
      <c r="O27" s="16" t="s">
        <v>40</v>
      </c>
      <c r="P27" s="16" t="n">
        <v>28</v>
      </c>
      <c r="Q27" s="16" t="n">
        <v>447</v>
      </c>
      <c r="R27" s="16" t="n">
        <v>3</v>
      </c>
      <c r="S27" s="16" t="n">
        <v>40.3823597029248</v>
      </c>
      <c r="T27" s="17" t="s">
        <v>44</v>
      </c>
      <c r="U27" s="16" t="n">
        <v>3.69131029262873</v>
      </c>
      <c r="V27" s="16" t="s">
        <v>42</v>
      </c>
      <c r="W27" s="16" t="s">
        <v>85</v>
      </c>
      <c r="X27" s="16" t="n">
        <v>758.724772602938</v>
      </c>
    </row>
    <row r="28" customFormat="false" ht="15" hidden="false" customHeight="false" outlineLevel="0" collapsed="false">
      <c r="A28" s="18" t="s">
        <v>48</v>
      </c>
      <c r="B28" s="18" t="s">
        <v>159</v>
      </c>
      <c r="C28" s="18" t="n">
        <v>39.6293439850926</v>
      </c>
      <c r="D28" s="18" t="n">
        <v>73</v>
      </c>
      <c r="E28" s="18" t="n">
        <v>142</v>
      </c>
      <c r="F28" s="18" t="n">
        <v>2174.77705435065</v>
      </c>
      <c r="G28" s="18" t="s">
        <v>141</v>
      </c>
      <c r="H28" s="18" t="n">
        <v>82</v>
      </c>
      <c r="I28" s="18" t="n">
        <v>11</v>
      </c>
      <c r="J28" s="18" t="n">
        <v>52</v>
      </c>
      <c r="K28" s="18" t="n">
        <v>3</v>
      </c>
      <c r="L28" s="18" t="s">
        <v>68</v>
      </c>
      <c r="M28" s="18" t="n">
        <v>2.23107368128173</v>
      </c>
      <c r="N28" s="18" t="s">
        <v>75</v>
      </c>
      <c r="O28" s="18" t="s">
        <v>71</v>
      </c>
      <c r="P28" s="18" t="n">
        <v>19</v>
      </c>
      <c r="Q28" s="18" t="n">
        <v>934</v>
      </c>
      <c r="R28" s="18" t="n">
        <v>23</v>
      </c>
      <c r="S28" s="18" t="n">
        <v>78.2803831184154</v>
      </c>
      <c r="T28" s="19" t="s">
        <v>44</v>
      </c>
      <c r="U28" s="18" t="n">
        <v>3.79723121711418</v>
      </c>
      <c r="V28" s="18" t="s">
        <v>63</v>
      </c>
      <c r="W28" s="18" t="s">
        <v>90</v>
      </c>
      <c r="X28" s="18" t="n">
        <v>458.535945739209</v>
      </c>
    </row>
    <row r="29" customFormat="false" ht="15" hidden="false" customHeight="false" outlineLevel="0" collapsed="false">
      <c r="A29" s="16" t="s">
        <v>48</v>
      </c>
      <c r="B29" s="16" t="s">
        <v>160</v>
      </c>
      <c r="C29" s="16" t="n">
        <v>97.4469466178928</v>
      </c>
      <c r="D29" s="16" t="n">
        <v>9</v>
      </c>
      <c r="E29" s="16" t="n">
        <v>353</v>
      </c>
      <c r="F29" s="16" t="n">
        <v>3716.49332589404</v>
      </c>
      <c r="G29" s="16" t="s">
        <v>141</v>
      </c>
      <c r="H29" s="16" t="n">
        <v>59</v>
      </c>
      <c r="I29" s="16" t="n">
        <v>16</v>
      </c>
      <c r="J29" s="16" t="n">
        <v>48</v>
      </c>
      <c r="K29" s="16" t="n">
        <v>4</v>
      </c>
      <c r="L29" s="16" t="s">
        <v>57</v>
      </c>
      <c r="M29" s="16" t="n">
        <v>6.50754862107855</v>
      </c>
      <c r="N29" s="16" t="s">
        <v>56</v>
      </c>
      <c r="O29" s="16" t="s">
        <v>40</v>
      </c>
      <c r="P29" s="16" t="n">
        <v>26</v>
      </c>
      <c r="Q29" s="16" t="n">
        <v>171</v>
      </c>
      <c r="R29" s="16" t="n">
        <v>4</v>
      </c>
      <c r="S29" s="16" t="n">
        <v>15.9722297571818</v>
      </c>
      <c r="T29" s="22" t="s">
        <v>65</v>
      </c>
      <c r="U29" s="16" t="n">
        <v>2.11931973672492</v>
      </c>
      <c r="V29" s="16" t="s">
        <v>52</v>
      </c>
      <c r="W29" s="16" t="s">
        <v>85</v>
      </c>
      <c r="X29" s="16" t="n">
        <v>617.866916458377</v>
      </c>
    </row>
    <row r="30" customFormat="false" ht="15" hidden="false" customHeight="false" outlineLevel="0" collapsed="false">
      <c r="A30" s="18" t="s">
        <v>38</v>
      </c>
      <c r="B30" s="18" t="s">
        <v>161</v>
      </c>
      <c r="C30" s="18" t="n">
        <v>92.557360812402</v>
      </c>
      <c r="D30" s="18" t="n">
        <v>42</v>
      </c>
      <c r="E30" s="18" t="n">
        <v>352</v>
      </c>
      <c r="F30" s="18" t="n">
        <v>2686.45722357598</v>
      </c>
      <c r="G30" s="18" t="s">
        <v>136</v>
      </c>
      <c r="H30" s="18" t="n">
        <v>47</v>
      </c>
      <c r="I30" s="18" t="n">
        <v>9</v>
      </c>
      <c r="J30" s="18" t="n">
        <v>62</v>
      </c>
      <c r="K30" s="18" t="n">
        <v>8</v>
      </c>
      <c r="L30" s="18" t="s">
        <v>68</v>
      </c>
      <c r="M30" s="18" t="n">
        <v>7.40675095299807</v>
      </c>
      <c r="N30" s="18" t="s">
        <v>78</v>
      </c>
      <c r="O30" s="18" t="s">
        <v>76</v>
      </c>
      <c r="P30" s="18" t="n">
        <v>25</v>
      </c>
      <c r="Q30" s="18" t="n">
        <v>291</v>
      </c>
      <c r="R30" s="18" t="n">
        <v>4</v>
      </c>
      <c r="S30" s="18" t="n">
        <v>10.5282450700422</v>
      </c>
      <c r="T30" s="20" t="s">
        <v>54</v>
      </c>
      <c r="U30" s="18" t="n">
        <v>2.86466783788337</v>
      </c>
      <c r="V30" s="18" t="s">
        <v>73</v>
      </c>
      <c r="W30" s="18" t="s">
        <v>90</v>
      </c>
      <c r="X30" s="18" t="n">
        <v>762.459182155684</v>
      </c>
    </row>
    <row r="31" customFormat="false" ht="15" hidden="false" customHeight="false" outlineLevel="0" collapsed="false">
      <c r="A31" s="16" t="s">
        <v>38</v>
      </c>
      <c r="B31" s="16" t="s">
        <v>162</v>
      </c>
      <c r="C31" s="16" t="n">
        <v>2.39727470559714</v>
      </c>
      <c r="D31" s="16" t="n">
        <v>12</v>
      </c>
      <c r="E31" s="16" t="n">
        <v>394</v>
      </c>
      <c r="F31" s="16" t="n">
        <v>6117.32461508399</v>
      </c>
      <c r="G31" s="16" t="s">
        <v>135</v>
      </c>
      <c r="H31" s="16" t="n">
        <v>48</v>
      </c>
      <c r="I31" s="16" t="n">
        <v>15</v>
      </c>
      <c r="J31" s="16" t="n">
        <v>24</v>
      </c>
      <c r="K31" s="16" t="n">
        <v>4</v>
      </c>
      <c r="L31" s="16" t="s">
        <v>57</v>
      </c>
      <c r="M31" s="16" t="n">
        <v>9.89814050806922</v>
      </c>
      <c r="N31" s="16" t="s">
        <v>46</v>
      </c>
      <c r="O31" s="16" t="s">
        <v>76</v>
      </c>
      <c r="P31" s="16" t="n">
        <v>13</v>
      </c>
      <c r="Q31" s="16" t="n">
        <v>171</v>
      </c>
      <c r="R31" s="16" t="n">
        <v>7</v>
      </c>
      <c r="S31" s="16" t="n">
        <v>59.4293818106916</v>
      </c>
      <c r="T31" s="21" t="s">
        <v>54</v>
      </c>
      <c r="U31" s="16" t="n">
        <v>0.815757079295672</v>
      </c>
      <c r="V31" s="16" t="s">
        <v>42</v>
      </c>
      <c r="W31" s="16" t="s">
        <v>85</v>
      </c>
      <c r="X31" s="16" t="n">
        <v>123.437027511827</v>
      </c>
    </row>
    <row r="32" customFormat="false" ht="15" hidden="false" customHeight="false" outlineLevel="0" collapsed="false">
      <c r="A32" s="18" t="s">
        <v>38</v>
      </c>
      <c r="B32" s="18" t="s">
        <v>163</v>
      </c>
      <c r="C32" s="18" t="n">
        <v>63.4475591852073</v>
      </c>
      <c r="D32" s="18" t="n">
        <v>3</v>
      </c>
      <c r="E32" s="18" t="n">
        <v>253</v>
      </c>
      <c r="F32" s="18" t="n">
        <v>8318.90319461718</v>
      </c>
      <c r="G32" s="18" t="s">
        <v>135</v>
      </c>
      <c r="H32" s="18" t="n">
        <v>45</v>
      </c>
      <c r="I32" s="18" t="n">
        <v>5</v>
      </c>
      <c r="J32" s="18" t="n">
        <v>67</v>
      </c>
      <c r="K32" s="18" t="n">
        <v>7</v>
      </c>
      <c r="L32" s="18" t="s">
        <v>57</v>
      </c>
      <c r="M32" s="18" t="n">
        <v>8.10097314539703</v>
      </c>
      <c r="N32" s="18" t="s">
        <v>46</v>
      </c>
      <c r="O32" s="18" t="s">
        <v>71</v>
      </c>
      <c r="P32" s="18" t="n">
        <v>16</v>
      </c>
      <c r="Q32" s="18" t="n">
        <v>329</v>
      </c>
      <c r="R32" s="18" t="n">
        <v>7</v>
      </c>
      <c r="S32" s="18" t="n">
        <v>39.2928755860658</v>
      </c>
      <c r="T32" s="23" t="s">
        <v>65</v>
      </c>
      <c r="U32" s="18" t="n">
        <v>3.87809893658849</v>
      </c>
      <c r="V32" s="18" t="s">
        <v>63</v>
      </c>
      <c r="W32" s="18" t="s">
        <v>90</v>
      </c>
      <c r="X32" s="18" t="n">
        <v>764.935375940708</v>
      </c>
    </row>
    <row r="33" customFormat="false" ht="15" hidden="false" customHeight="false" outlineLevel="0" collapsed="false">
      <c r="A33" s="16" t="s">
        <v>48</v>
      </c>
      <c r="B33" s="16" t="s">
        <v>164</v>
      </c>
      <c r="C33" s="16" t="n">
        <v>8.02285921052639</v>
      </c>
      <c r="D33" s="16" t="n">
        <v>10</v>
      </c>
      <c r="E33" s="16" t="n">
        <v>327</v>
      </c>
      <c r="F33" s="16" t="n">
        <v>2766.34236686609</v>
      </c>
      <c r="G33" s="16" t="s">
        <v>141</v>
      </c>
      <c r="H33" s="16" t="n">
        <v>60</v>
      </c>
      <c r="I33" s="16" t="n">
        <v>26</v>
      </c>
      <c r="J33" s="16" t="n">
        <v>35</v>
      </c>
      <c r="K33" s="16" t="n">
        <v>7</v>
      </c>
      <c r="L33" s="16" t="s">
        <v>57</v>
      </c>
      <c r="M33" s="16" t="n">
        <v>8.95452831531802</v>
      </c>
      <c r="N33" s="16" t="s">
        <v>75</v>
      </c>
      <c r="O33" s="16" t="s">
        <v>71</v>
      </c>
      <c r="P33" s="16" t="n">
        <v>27</v>
      </c>
      <c r="Q33" s="16" t="n">
        <v>806</v>
      </c>
      <c r="R33" s="16" t="n">
        <v>30</v>
      </c>
      <c r="S33" s="16" t="n">
        <v>51.6348934001093</v>
      </c>
      <c r="T33" s="17" t="s">
        <v>44</v>
      </c>
      <c r="U33" s="16" t="n">
        <v>0.965394705352393</v>
      </c>
      <c r="V33" s="16" t="s">
        <v>63</v>
      </c>
      <c r="W33" s="16" t="s">
        <v>95</v>
      </c>
      <c r="X33" s="16" t="n">
        <v>880.080988247161</v>
      </c>
    </row>
    <row r="34" customFormat="false" ht="15" hidden="false" customHeight="false" outlineLevel="0" collapsed="false">
      <c r="A34" s="18" t="s">
        <v>59</v>
      </c>
      <c r="B34" s="18" t="s">
        <v>98</v>
      </c>
      <c r="C34" s="18" t="n">
        <v>50.8473930517187</v>
      </c>
      <c r="D34" s="18" t="n">
        <v>28</v>
      </c>
      <c r="E34" s="18" t="n">
        <v>168</v>
      </c>
      <c r="F34" s="18" t="n">
        <v>9655.1351027194</v>
      </c>
      <c r="G34" s="18" t="s">
        <v>141</v>
      </c>
      <c r="H34" s="18" t="n">
        <v>6</v>
      </c>
      <c r="I34" s="18" t="n">
        <v>17</v>
      </c>
      <c r="J34" s="18" t="n">
        <v>44</v>
      </c>
      <c r="K34" s="18" t="n">
        <v>4</v>
      </c>
      <c r="L34" s="18" t="s">
        <v>57</v>
      </c>
      <c r="M34" s="18" t="n">
        <v>2.67966096498141</v>
      </c>
      <c r="N34" s="18" t="s">
        <v>67</v>
      </c>
      <c r="O34" s="18" t="s">
        <v>50</v>
      </c>
      <c r="P34" s="18" t="n">
        <v>24</v>
      </c>
      <c r="Q34" s="18" t="n">
        <v>461</v>
      </c>
      <c r="R34" s="18" t="n">
        <v>8</v>
      </c>
      <c r="S34" s="18" t="n">
        <v>60.2511456615981</v>
      </c>
      <c r="T34" s="19" t="s">
        <v>44</v>
      </c>
      <c r="U34" s="18" t="n">
        <v>2.98900000665508</v>
      </c>
      <c r="V34" s="18" t="s">
        <v>52</v>
      </c>
      <c r="W34" s="18" t="s">
        <v>95</v>
      </c>
      <c r="X34" s="18" t="n">
        <v>609.379206618427</v>
      </c>
    </row>
    <row r="35" customFormat="false" ht="15" hidden="false" customHeight="false" outlineLevel="0" collapsed="false">
      <c r="A35" s="16" t="s">
        <v>59</v>
      </c>
      <c r="B35" s="16" t="s">
        <v>103</v>
      </c>
      <c r="C35" s="16" t="n">
        <v>79.2099360156567</v>
      </c>
      <c r="D35" s="16" t="n">
        <v>43</v>
      </c>
      <c r="E35" s="16" t="n">
        <v>781</v>
      </c>
      <c r="F35" s="16" t="n">
        <v>9571.55048732782</v>
      </c>
      <c r="G35" s="16" t="s">
        <v>136</v>
      </c>
      <c r="H35" s="16" t="n">
        <v>89</v>
      </c>
      <c r="I35" s="16" t="n">
        <v>13</v>
      </c>
      <c r="J35" s="16" t="n">
        <v>64</v>
      </c>
      <c r="K35" s="16" t="n">
        <v>4</v>
      </c>
      <c r="L35" s="16" t="s">
        <v>68</v>
      </c>
      <c r="M35" s="16" t="n">
        <v>6.59910490123858</v>
      </c>
      <c r="N35" s="16" t="s">
        <v>67</v>
      </c>
      <c r="O35" s="16" t="s">
        <v>71</v>
      </c>
      <c r="P35" s="16" t="n">
        <v>30</v>
      </c>
      <c r="Q35" s="16" t="n">
        <v>737</v>
      </c>
      <c r="R35" s="16" t="n">
        <v>7</v>
      </c>
      <c r="S35" s="16" t="n">
        <v>29.6924671537498</v>
      </c>
      <c r="T35" s="22" t="s">
        <v>65</v>
      </c>
      <c r="U35" s="16" t="n">
        <v>1.94603611938611</v>
      </c>
      <c r="V35" s="16" t="s">
        <v>63</v>
      </c>
      <c r="W35" s="16" t="s">
        <v>85</v>
      </c>
      <c r="X35" s="16" t="n">
        <v>761.173909514878</v>
      </c>
    </row>
    <row r="36" customFormat="false" ht="15" hidden="false" customHeight="false" outlineLevel="0" collapsed="false">
      <c r="A36" s="18" t="s">
        <v>38</v>
      </c>
      <c r="B36" s="18" t="s">
        <v>165</v>
      </c>
      <c r="C36" s="18" t="n">
        <v>64.7954350001556</v>
      </c>
      <c r="D36" s="18" t="n">
        <v>63</v>
      </c>
      <c r="E36" s="18" t="n">
        <v>616</v>
      </c>
      <c r="F36" s="18" t="n">
        <v>5149.99835040804</v>
      </c>
      <c r="G36" s="18" t="s">
        <v>133</v>
      </c>
      <c r="H36" s="18" t="n">
        <v>4</v>
      </c>
      <c r="I36" s="18" t="n">
        <v>17</v>
      </c>
      <c r="J36" s="18" t="n">
        <v>95</v>
      </c>
      <c r="K36" s="18" t="n">
        <v>9</v>
      </c>
      <c r="L36" s="18" t="s">
        <v>68</v>
      </c>
      <c r="M36" s="18" t="n">
        <v>4.85827050343664</v>
      </c>
      <c r="N36" s="18" t="s">
        <v>78</v>
      </c>
      <c r="O36" s="18" t="s">
        <v>50</v>
      </c>
      <c r="P36" s="18" t="n">
        <v>1</v>
      </c>
      <c r="Q36" s="18" t="n">
        <v>251</v>
      </c>
      <c r="R36" s="18" t="n">
        <v>23</v>
      </c>
      <c r="S36" s="18" t="n">
        <v>23.8534275128961</v>
      </c>
      <c r="T36" s="20" t="s">
        <v>54</v>
      </c>
      <c r="U36" s="18" t="n">
        <v>3.54104601225092</v>
      </c>
      <c r="V36" s="18" t="s">
        <v>73</v>
      </c>
      <c r="W36" s="18" t="s">
        <v>85</v>
      </c>
      <c r="X36" s="18" t="n">
        <v>371.255295519871</v>
      </c>
    </row>
    <row r="37" customFormat="false" ht="15" hidden="false" customHeight="false" outlineLevel="0" collapsed="false">
      <c r="A37" s="16" t="s">
        <v>59</v>
      </c>
      <c r="B37" s="16" t="s">
        <v>166</v>
      </c>
      <c r="C37" s="16" t="n">
        <v>37.4675923298425</v>
      </c>
      <c r="D37" s="16" t="n">
        <v>96</v>
      </c>
      <c r="E37" s="16" t="n">
        <v>602</v>
      </c>
      <c r="F37" s="16" t="n">
        <v>9061.71089550772</v>
      </c>
      <c r="G37" s="16" t="s">
        <v>136</v>
      </c>
      <c r="H37" s="16" t="n">
        <v>1</v>
      </c>
      <c r="I37" s="16" t="n">
        <v>26</v>
      </c>
      <c r="J37" s="16" t="n">
        <v>21</v>
      </c>
      <c r="K37" s="16" t="n">
        <v>7</v>
      </c>
      <c r="L37" s="16" t="s">
        <v>47</v>
      </c>
      <c r="M37" s="16" t="n">
        <v>1.01948757082212</v>
      </c>
      <c r="N37" s="16" t="s">
        <v>46</v>
      </c>
      <c r="O37" s="16" t="s">
        <v>50</v>
      </c>
      <c r="P37" s="16" t="n">
        <v>4</v>
      </c>
      <c r="Q37" s="16" t="n">
        <v>452</v>
      </c>
      <c r="R37" s="16" t="n">
        <v>10</v>
      </c>
      <c r="S37" s="16" t="n">
        <v>10.7542728150293</v>
      </c>
      <c r="T37" s="22" t="s">
        <v>65</v>
      </c>
      <c r="U37" s="16" t="n">
        <v>0.646604559372055</v>
      </c>
      <c r="V37" s="16" t="s">
        <v>63</v>
      </c>
      <c r="W37" s="16" t="s">
        <v>90</v>
      </c>
      <c r="X37" s="16" t="n">
        <v>510.358000433524</v>
      </c>
    </row>
    <row r="38" customFormat="false" ht="15" hidden="false" customHeight="false" outlineLevel="0" collapsed="false">
      <c r="A38" s="18" t="s">
        <v>38</v>
      </c>
      <c r="B38" s="18" t="s">
        <v>167</v>
      </c>
      <c r="C38" s="18" t="n">
        <v>84.9577868163504</v>
      </c>
      <c r="D38" s="18" t="n">
        <v>11</v>
      </c>
      <c r="E38" s="18" t="n">
        <v>449</v>
      </c>
      <c r="F38" s="18" t="n">
        <v>6541.32934480247</v>
      </c>
      <c r="G38" s="18" t="s">
        <v>135</v>
      </c>
      <c r="H38" s="18" t="n">
        <v>42</v>
      </c>
      <c r="I38" s="18" t="n">
        <v>27</v>
      </c>
      <c r="J38" s="18" t="n">
        <v>85</v>
      </c>
      <c r="K38" s="18" t="n">
        <v>8</v>
      </c>
      <c r="L38" s="18" t="s">
        <v>68</v>
      </c>
      <c r="M38" s="18" t="n">
        <v>5.28818999032741</v>
      </c>
      <c r="N38" s="18" t="s">
        <v>46</v>
      </c>
      <c r="O38" s="18" t="s">
        <v>61</v>
      </c>
      <c r="P38" s="18" t="n">
        <v>3</v>
      </c>
      <c r="Q38" s="18" t="n">
        <v>367</v>
      </c>
      <c r="R38" s="18" t="n">
        <v>2</v>
      </c>
      <c r="S38" s="18" t="n">
        <v>58.0047870447438</v>
      </c>
      <c r="T38" s="23" t="s">
        <v>65</v>
      </c>
      <c r="U38" s="18" t="n">
        <v>0.541154098060581</v>
      </c>
      <c r="V38" s="18" t="s">
        <v>73</v>
      </c>
      <c r="W38" s="18" t="s">
        <v>95</v>
      </c>
      <c r="X38" s="18" t="n">
        <v>553.420471230356</v>
      </c>
    </row>
    <row r="39" customFormat="false" ht="15" hidden="false" customHeight="false" outlineLevel="0" collapsed="false">
      <c r="A39" s="16" t="s">
        <v>59</v>
      </c>
      <c r="B39" s="16" t="s">
        <v>168</v>
      </c>
      <c r="C39" s="16" t="n">
        <v>9.81300257875405</v>
      </c>
      <c r="D39" s="16" t="n">
        <v>34</v>
      </c>
      <c r="E39" s="16" t="n">
        <v>963</v>
      </c>
      <c r="F39" s="16" t="n">
        <v>7573.40245784873</v>
      </c>
      <c r="G39" s="16" t="s">
        <v>135</v>
      </c>
      <c r="H39" s="16" t="n">
        <v>18</v>
      </c>
      <c r="I39" s="16" t="n">
        <v>23</v>
      </c>
      <c r="J39" s="16" t="n">
        <v>28</v>
      </c>
      <c r="K39" s="16" t="n">
        <v>3</v>
      </c>
      <c r="L39" s="16" t="s">
        <v>57</v>
      </c>
      <c r="M39" s="16" t="n">
        <v>2.10795126715908</v>
      </c>
      <c r="N39" s="16" t="s">
        <v>56</v>
      </c>
      <c r="O39" s="16" t="s">
        <v>61</v>
      </c>
      <c r="P39" s="16" t="n">
        <v>26</v>
      </c>
      <c r="Q39" s="16" t="n">
        <v>671</v>
      </c>
      <c r="R39" s="16" t="n">
        <v>19</v>
      </c>
      <c r="S39" s="16" t="n">
        <v>45.5313642371621</v>
      </c>
      <c r="T39" s="21" t="s">
        <v>54</v>
      </c>
      <c r="U39" s="16" t="n">
        <v>3.80553337924335</v>
      </c>
      <c r="V39" s="16" t="s">
        <v>42</v>
      </c>
      <c r="W39" s="16" t="s">
        <v>95</v>
      </c>
      <c r="X39" s="16" t="n">
        <v>403.808974248181</v>
      </c>
    </row>
    <row r="40" customFormat="false" ht="15" hidden="false" customHeight="false" outlineLevel="0" collapsed="false">
      <c r="A40" s="18" t="s">
        <v>59</v>
      </c>
      <c r="B40" s="18" t="s">
        <v>169</v>
      </c>
      <c r="C40" s="18" t="n">
        <v>23.3998447526144</v>
      </c>
      <c r="D40" s="18" t="n">
        <v>5</v>
      </c>
      <c r="E40" s="18" t="n">
        <v>963</v>
      </c>
      <c r="F40" s="18" t="n">
        <v>2438.33993047003</v>
      </c>
      <c r="G40" s="18" t="s">
        <v>135</v>
      </c>
      <c r="H40" s="18" t="n">
        <v>25</v>
      </c>
      <c r="I40" s="18" t="n">
        <v>8</v>
      </c>
      <c r="J40" s="18" t="n">
        <v>21</v>
      </c>
      <c r="K40" s="18" t="n">
        <v>9</v>
      </c>
      <c r="L40" s="18" t="s">
        <v>47</v>
      </c>
      <c r="M40" s="18" t="n">
        <v>1.53265527359043</v>
      </c>
      <c r="N40" s="18" t="s">
        <v>67</v>
      </c>
      <c r="O40" s="18" t="s">
        <v>71</v>
      </c>
      <c r="P40" s="18" t="n">
        <v>24</v>
      </c>
      <c r="Q40" s="18" t="n">
        <v>867</v>
      </c>
      <c r="R40" s="18" t="n">
        <v>15</v>
      </c>
      <c r="S40" s="18" t="n">
        <v>34.3432774650754</v>
      </c>
      <c r="T40" s="19" t="s">
        <v>44</v>
      </c>
      <c r="U40" s="18" t="n">
        <v>2.61028808484811</v>
      </c>
      <c r="V40" s="18" t="s">
        <v>73</v>
      </c>
      <c r="W40" s="18" t="s">
        <v>85</v>
      </c>
      <c r="X40" s="18" t="n">
        <v>183.932968043594</v>
      </c>
    </row>
    <row r="41" customFormat="false" ht="15" hidden="false" customHeight="false" outlineLevel="0" collapsed="false">
      <c r="A41" s="16" t="s">
        <v>38</v>
      </c>
      <c r="B41" s="16" t="s">
        <v>93</v>
      </c>
      <c r="C41" s="16" t="n">
        <v>52.0759306827078</v>
      </c>
      <c r="D41" s="16" t="n">
        <v>75</v>
      </c>
      <c r="E41" s="16" t="n">
        <v>705</v>
      </c>
      <c r="F41" s="16" t="n">
        <v>9692.31804021843</v>
      </c>
      <c r="G41" s="16" t="s">
        <v>133</v>
      </c>
      <c r="H41" s="16" t="n">
        <v>69</v>
      </c>
      <c r="I41" s="16" t="n">
        <v>1</v>
      </c>
      <c r="J41" s="16" t="n">
        <v>88</v>
      </c>
      <c r="K41" s="16" t="n">
        <v>5</v>
      </c>
      <c r="L41" s="16" t="s">
        <v>57</v>
      </c>
      <c r="M41" s="16" t="n">
        <v>9.23593143724923</v>
      </c>
      <c r="N41" s="16" t="s">
        <v>78</v>
      </c>
      <c r="O41" s="16" t="s">
        <v>76</v>
      </c>
      <c r="P41" s="16" t="n">
        <v>10</v>
      </c>
      <c r="Q41" s="16" t="n">
        <v>841</v>
      </c>
      <c r="R41" s="16" t="n">
        <v>12</v>
      </c>
      <c r="S41" s="16" t="n">
        <v>5.93069364552832</v>
      </c>
      <c r="T41" s="17" t="s">
        <v>44</v>
      </c>
      <c r="U41" s="16" t="n">
        <v>0.613326899164507</v>
      </c>
      <c r="V41" s="16" t="s">
        <v>42</v>
      </c>
      <c r="W41" s="16" t="s">
        <v>90</v>
      </c>
      <c r="X41" s="16" t="n">
        <v>339.672869948606</v>
      </c>
    </row>
    <row r="42" customFormat="false" ht="15" hidden="false" customHeight="false" outlineLevel="0" collapsed="false">
      <c r="A42" s="18" t="s">
        <v>59</v>
      </c>
      <c r="B42" s="18" t="s">
        <v>170</v>
      </c>
      <c r="C42" s="18" t="n">
        <v>19.1274772658233</v>
      </c>
      <c r="D42" s="18" t="n">
        <v>26</v>
      </c>
      <c r="E42" s="18" t="n">
        <v>176</v>
      </c>
      <c r="F42" s="18" t="n">
        <v>1912.46566310076</v>
      </c>
      <c r="G42" s="18" t="s">
        <v>135</v>
      </c>
      <c r="H42" s="18" t="n">
        <v>78</v>
      </c>
      <c r="I42" s="18" t="n">
        <v>29</v>
      </c>
      <c r="J42" s="18" t="n">
        <v>34</v>
      </c>
      <c r="K42" s="18" t="n">
        <v>3</v>
      </c>
      <c r="L42" s="18" t="s">
        <v>47</v>
      </c>
      <c r="M42" s="18" t="n">
        <v>5.56250377883038</v>
      </c>
      <c r="N42" s="18" t="s">
        <v>56</v>
      </c>
      <c r="O42" s="18" t="s">
        <v>71</v>
      </c>
      <c r="P42" s="18" t="n">
        <v>30</v>
      </c>
      <c r="Q42" s="18" t="n">
        <v>791</v>
      </c>
      <c r="R42" s="18" t="n">
        <v>6</v>
      </c>
      <c r="S42" s="18" t="n">
        <v>9.00580742878164</v>
      </c>
      <c r="T42" s="20" t="s">
        <v>54</v>
      </c>
      <c r="U42" s="18" t="n">
        <v>1.45197220399682</v>
      </c>
      <c r="V42" s="18" t="s">
        <v>42</v>
      </c>
      <c r="W42" s="18" t="s">
        <v>90</v>
      </c>
      <c r="X42" s="18" t="n">
        <v>653.672994552033</v>
      </c>
    </row>
    <row r="43" customFormat="false" ht="15" hidden="false" customHeight="false" outlineLevel="0" collapsed="false">
      <c r="A43" s="16" t="s">
        <v>59</v>
      </c>
      <c r="B43" s="16" t="s">
        <v>171</v>
      </c>
      <c r="C43" s="16" t="n">
        <v>80.5414241709403</v>
      </c>
      <c r="D43" s="16" t="n">
        <v>97</v>
      </c>
      <c r="E43" s="16" t="n">
        <v>933</v>
      </c>
      <c r="F43" s="16" t="n">
        <v>5724.95935045627</v>
      </c>
      <c r="G43" s="16" t="s">
        <v>135</v>
      </c>
      <c r="H43" s="16" t="n">
        <v>90</v>
      </c>
      <c r="I43" s="16" t="n">
        <v>20</v>
      </c>
      <c r="J43" s="16" t="n">
        <v>39</v>
      </c>
      <c r="K43" s="16" t="n">
        <v>8</v>
      </c>
      <c r="L43" s="16" t="s">
        <v>68</v>
      </c>
      <c r="M43" s="16" t="n">
        <v>7.22959513973647</v>
      </c>
      <c r="N43" s="16" t="s">
        <v>46</v>
      </c>
      <c r="O43" s="16" t="s">
        <v>71</v>
      </c>
      <c r="P43" s="16" t="n">
        <v>18</v>
      </c>
      <c r="Q43" s="16" t="n">
        <v>793</v>
      </c>
      <c r="R43" s="16" t="n">
        <v>1</v>
      </c>
      <c r="S43" s="16" t="n">
        <v>88.1794071042175</v>
      </c>
      <c r="T43" s="17" t="s">
        <v>44</v>
      </c>
      <c r="U43" s="16" t="n">
        <v>4.21326943058657</v>
      </c>
      <c r="V43" s="16" t="s">
        <v>63</v>
      </c>
      <c r="W43" s="16" t="s">
        <v>85</v>
      </c>
      <c r="X43" s="16" t="n">
        <v>529.808723980692</v>
      </c>
    </row>
    <row r="44" customFormat="false" ht="15" hidden="false" customHeight="false" outlineLevel="0" collapsed="false">
      <c r="A44" s="18" t="s">
        <v>59</v>
      </c>
      <c r="B44" s="18" t="s">
        <v>172</v>
      </c>
      <c r="C44" s="18" t="n">
        <v>99.1132916153172</v>
      </c>
      <c r="D44" s="18" t="n">
        <v>35</v>
      </c>
      <c r="E44" s="18" t="n">
        <v>556</v>
      </c>
      <c r="F44" s="18" t="n">
        <v>5521.20525901097</v>
      </c>
      <c r="G44" s="18" t="s">
        <v>135</v>
      </c>
      <c r="H44" s="18" t="n">
        <v>64</v>
      </c>
      <c r="I44" s="18" t="n">
        <v>19</v>
      </c>
      <c r="J44" s="18" t="n">
        <v>38</v>
      </c>
      <c r="K44" s="18" t="n">
        <v>8</v>
      </c>
      <c r="L44" s="18" t="s">
        <v>57</v>
      </c>
      <c r="M44" s="18" t="n">
        <v>5.77326374376665</v>
      </c>
      <c r="N44" s="18" t="s">
        <v>75</v>
      </c>
      <c r="O44" s="18" t="s">
        <v>50</v>
      </c>
      <c r="P44" s="18" t="n">
        <v>18</v>
      </c>
      <c r="Q44" s="18" t="n">
        <v>892</v>
      </c>
      <c r="R44" s="18" t="n">
        <v>7</v>
      </c>
      <c r="S44" s="18" t="n">
        <v>95.3320645487725</v>
      </c>
      <c r="T44" s="20" t="s">
        <v>54</v>
      </c>
      <c r="U44" s="18" t="n">
        <v>0.0453022623982596</v>
      </c>
      <c r="V44" s="18" t="s">
        <v>73</v>
      </c>
      <c r="W44" s="18" t="s">
        <v>85</v>
      </c>
      <c r="X44" s="18" t="n">
        <v>275.52437113131</v>
      </c>
    </row>
    <row r="45" customFormat="false" ht="15" hidden="false" customHeight="false" outlineLevel="0" collapsed="false">
      <c r="A45" s="16" t="s">
        <v>59</v>
      </c>
      <c r="B45" s="16" t="s">
        <v>173</v>
      </c>
      <c r="C45" s="16" t="n">
        <v>46.5291676145168</v>
      </c>
      <c r="D45" s="16" t="n">
        <v>98</v>
      </c>
      <c r="E45" s="16" t="n">
        <v>155</v>
      </c>
      <c r="F45" s="16" t="n">
        <v>1839.60942585676</v>
      </c>
      <c r="G45" s="16" t="s">
        <v>135</v>
      </c>
      <c r="H45" s="16" t="n">
        <v>22</v>
      </c>
      <c r="I45" s="16" t="n">
        <v>27</v>
      </c>
      <c r="J45" s="16" t="n">
        <v>57</v>
      </c>
      <c r="K45" s="16" t="n">
        <v>4</v>
      </c>
      <c r="L45" s="16" t="s">
        <v>68</v>
      </c>
      <c r="M45" s="16" t="n">
        <v>7.52624832685151</v>
      </c>
      <c r="N45" s="16" t="s">
        <v>78</v>
      </c>
      <c r="O45" s="16" t="s">
        <v>40</v>
      </c>
      <c r="P45" s="16" t="n">
        <v>26</v>
      </c>
      <c r="Q45" s="16" t="n">
        <v>179</v>
      </c>
      <c r="R45" s="16" t="n">
        <v>7</v>
      </c>
      <c r="S45" s="16" t="n">
        <v>96.4228206395719</v>
      </c>
      <c r="T45" s="21" t="s">
        <v>54</v>
      </c>
      <c r="U45" s="16" t="n">
        <v>4.93925528862095</v>
      </c>
      <c r="V45" s="16" t="s">
        <v>63</v>
      </c>
      <c r="W45" s="16" t="s">
        <v>85</v>
      </c>
      <c r="X45" s="16" t="n">
        <v>635.657120501992</v>
      </c>
    </row>
    <row r="46" customFormat="false" ht="15" hidden="false" customHeight="false" outlineLevel="0" collapsed="false">
      <c r="A46" s="18" t="s">
        <v>48</v>
      </c>
      <c r="B46" s="18" t="s">
        <v>174</v>
      </c>
      <c r="C46" s="18" t="n">
        <v>11.7432717763092</v>
      </c>
      <c r="D46" s="18" t="n">
        <v>6</v>
      </c>
      <c r="E46" s="18" t="n">
        <v>598</v>
      </c>
      <c r="F46" s="18" t="n">
        <v>5737.42559911902</v>
      </c>
      <c r="G46" s="18" t="s">
        <v>136</v>
      </c>
      <c r="H46" s="18" t="n">
        <v>36</v>
      </c>
      <c r="I46" s="18" t="n">
        <v>29</v>
      </c>
      <c r="J46" s="18" t="n">
        <v>85</v>
      </c>
      <c r="K46" s="18" t="n">
        <v>9</v>
      </c>
      <c r="L46" s="18" t="s">
        <v>57</v>
      </c>
      <c r="M46" s="18" t="n">
        <v>3.69402126838845</v>
      </c>
      <c r="N46" s="18" t="s">
        <v>78</v>
      </c>
      <c r="O46" s="18" t="s">
        <v>76</v>
      </c>
      <c r="P46" s="18" t="n">
        <v>1</v>
      </c>
      <c r="Q46" s="18" t="n">
        <v>206</v>
      </c>
      <c r="R46" s="18" t="n">
        <v>23</v>
      </c>
      <c r="S46" s="18" t="n">
        <v>26.2773659573324</v>
      </c>
      <c r="T46" s="19" t="s">
        <v>44</v>
      </c>
      <c r="U46" s="18" t="n">
        <v>0.372304767985098</v>
      </c>
      <c r="V46" s="18" t="s">
        <v>42</v>
      </c>
      <c r="W46" s="18" t="s">
        <v>85</v>
      </c>
      <c r="X46" s="18" t="n">
        <v>716.044119759341</v>
      </c>
    </row>
    <row r="47" customFormat="false" ht="15" hidden="false" customHeight="false" outlineLevel="0" collapsed="false">
      <c r="A47" s="16" t="s">
        <v>38</v>
      </c>
      <c r="B47" s="16" t="s">
        <v>175</v>
      </c>
      <c r="C47" s="16" t="n">
        <v>51.3557909131104</v>
      </c>
      <c r="D47" s="16" t="n">
        <v>34</v>
      </c>
      <c r="E47" s="16" t="n">
        <v>919</v>
      </c>
      <c r="F47" s="16" t="n">
        <v>7152.28604943552</v>
      </c>
      <c r="G47" s="16" t="s">
        <v>135</v>
      </c>
      <c r="H47" s="16" t="n">
        <v>13</v>
      </c>
      <c r="I47" s="16" t="n">
        <v>19</v>
      </c>
      <c r="J47" s="16" t="n">
        <v>72</v>
      </c>
      <c r="K47" s="16" t="n">
        <v>6</v>
      </c>
      <c r="L47" s="16" t="s">
        <v>68</v>
      </c>
      <c r="M47" s="16" t="n">
        <v>7.57744965737669</v>
      </c>
      <c r="N47" s="16" t="s">
        <v>56</v>
      </c>
      <c r="O47" s="16" t="s">
        <v>61</v>
      </c>
      <c r="P47" s="16" t="n">
        <v>7</v>
      </c>
      <c r="Q47" s="16" t="n">
        <v>834</v>
      </c>
      <c r="R47" s="16" t="n">
        <v>18</v>
      </c>
      <c r="S47" s="16" t="n">
        <v>22.5541066208877</v>
      </c>
      <c r="T47" s="21" t="s">
        <v>54</v>
      </c>
      <c r="U47" s="16" t="n">
        <v>2.96262632045488</v>
      </c>
      <c r="V47" s="16" t="s">
        <v>52</v>
      </c>
      <c r="W47" s="16" t="s">
        <v>85</v>
      </c>
      <c r="X47" s="16" t="n">
        <v>610.453269619228</v>
      </c>
    </row>
    <row r="48" customFormat="false" ht="15" hidden="false" customHeight="false" outlineLevel="0" collapsed="false">
      <c r="A48" s="18" t="s">
        <v>48</v>
      </c>
      <c r="B48" s="18" t="s">
        <v>176</v>
      </c>
      <c r="C48" s="18" t="n">
        <v>33.7841380330655</v>
      </c>
      <c r="D48" s="18" t="n">
        <v>1</v>
      </c>
      <c r="E48" s="18" t="n">
        <v>24</v>
      </c>
      <c r="F48" s="18" t="n">
        <v>5267.95680751052</v>
      </c>
      <c r="G48" s="18" t="s">
        <v>141</v>
      </c>
      <c r="H48" s="18" t="n">
        <v>93</v>
      </c>
      <c r="I48" s="18" t="n">
        <v>7</v>
      </c>
      <c r="J48" s="18" t="n">
        <v>52</v>
      </c>
      <c r="K48" s="18" t="n">
        <v>6</v>
      </c>
      <c r="L48" s="18" t="s">
        <v>57</v>
      </c>
      <c r="M48" s="18" t="n">
        <v>5.21515500871191</v>
      </c>
      <c r="N48" s="18" t="s">
        <v>56</v>
      </c>
      <c r="O48" s="18" t="s">
        <v>50</v>
      </c>
      <c r="P48" s="18" t="n">
        <v>25</v>
      </c>
      <c r="Q48" s="18" t="n">
        <v>794</v>
      </c>
      <c r="R48" s="18" t="n">
        <v>25</v>
      </c>
      <c r="S48" s="18" t="n">
        <v>66.3125444399917</v>
      </c>
      <c r="T48" s="23" t="s">
        <v>65</v>
      </c>
      <c r="U48" s="18" t="n">
        <v>3.21960461208411</v>
      </c>
      <c r="V48" s="18" t="s">
        <v>52</v>
      </c>
      <c r="W48" s="18" t="s">
        <v>85</v>
      </c>
      <c r="X48" s="18" t="n">
        <v>495.305697028474</v>
      </c>
    </row>
    <row r="49" customFormat="false" ht="15" hidden="false" customHeight="false" outlineLevel="0" collapsed="false">
      <c r="A49" s="16" t="s">
        <v>48</v>
      </c>
      <c r="B49" s="16" t="s">
        <v>177</v>
      </c>
      <c r="C49" s="16" t="n">
        <v>27.0822071998889</v>
      </c>
      <c r="D49" s="16" t="n">
        <v>75</v>
      </c>
      <c r="E49" s="16" t="n">
        <v>859</v>
      </c>
      <c r="F49" s="16" t="n">
        <v>2556.7673606336</v>
      </c>
      <c r="G49" s="16" t="s">
        <v>133</v>
      </c>
      <c r="H49" s="16" t="n">
        <v>92</v>
      </c>
      <c r="I49" s="16" t="n">
        <v>29</v>
      </c>
      <c r="J49" s="16" t="n">
        <v>6</v>
      </c>
      <c r="K49" s="16" t="n">
        <v>8</v>
      </c>
      <c r="L49" s="16" t="s">
        <v>57</v>
      </c>
      <c r="M49" s="16" t="n">
        <v>4.07095583708408</v>
      </c>
      <c r="N49" s="16" t="s">
        <v>67</v>
      </c>
      <c r="O49" s="16" t="s">
        <v>50</v>
      </c>
      <c r="P49" s="16" t="n">
        <v>18</v>
      </c>
      <c r="Q49" s="16" t="n">
        <v>870</v>
      </c>
      <c r="R49" s="16" t="n">
        <v>23</v>
      </c>
      <c r="S49" s="16" t="n">
        <v>77.3223532110516</v>
      </c>
      <c r="T49" s="17" t="s">
        <v>44</v>
      </c>
      <c r="U49" s="16" t="n">
        <v>3.6486105925362</v>
      </c>
      <c r="V49" s="16" t="s">
        <v>63</v>
      </c>
      <c r="W49" s="16" t="s">
        <v>90</v>
      </c>
      <c r="X49" s="16" t="n">
        <v>380.435937111964</v>
      </c>
    </row>
    <row r="50" customFormat="false" ht="15" hidden="false" customHeight="false" outlineLevel="0" collapsed="false">
      <c r="A50" s="18" t="s">
        <v>59</v>
      </c>
      <c r="B50" s="18" t="s">
        <v>178</v>
      </c>
      <c r="C50" s="18" t="n">
        <v>95.7121358809361</v>
      </c>
      <c r="D50" s="18" t="n">
        <v>93</v>
      </c>
      <c r="E50" s="18" t="n">
        <v>910</v>
      </c>
      <c r="F50" s="18" t="n">
        <v>7089.47424993419</v>
      </c>
      <c r="G50" s="18" t="s">
        <v>141</v>
      </c>
      <c r="H50" s="18" t="n">
        <v>4</v>
      </c>
      <c r="I50" s="18" t="n">
        <v>15</v>
      </c>
      <c r="J50" s="18" t="n">
        <v>51</v>
      </c>
      <c r="K50" s="18" t="n">
        <v>9</v>
      </c>
      <c r="L50" s="18" t="s">
        <v>57</v>
      </c>
      <c r="M50" s="18" t="n">
        <v>8.97875075594997</v>
      </c>
      <c r="N50" s="18" t="s">
        <v>46</v>
      </c>
      <c r="O50" s="18" t="s">
        <v>71</v>
      </c>
      <c r="P50" s="18" t="n">
        <v>10</v>
      </c>
      <c r="Q50" s="18" t="n">
        <v>964</v>
      </c>
      <c r="R50" s="18" t="n">
        <v>20</v>
      </c>
      <c r="S50" s="18" t="n">
        <v>19.7129929112937</v>
      </c>
      <c r="T50" s="19" t="s">
        <v>44</v>
      </c>
      <c r="U50" s="18" t="n">
        <v>0.380573586713214</v>
      </c>
      <c r="V50" s="18" t="s">
        <v>52</v>
      </c>
      <c r="W50" s="18" t="s">
        <v>85</v>
      </c>
      <c r="X50" s="18" t="n">
        <v>581.602355050587</v>
      </c>
    </row>
    <row r="51" customFormat="false" ht="15" hidden="false" customHeight="false" outlineLevel="0" collapsed="false">
      <c r="A51" s="16" t="s">
        <v>48</v>
      </c>
      <c r="B51" s="16" t="s">
        <v>179</v>
      </c>
      <c r="C51" s="16" t="n">
        <v>76.0355444268917</v>
      </c>
      <c r="D51" s="16" t="n">
        <v>28</v>
      </c>
      <c r="E51" s="16" t="n">
        <v>29</v>
      </c>
      <c r="F51" s="16" t="n">
        <v>7397.07100458718</v>
      </c>
      <c r="G51" s="16" t="s">
        <v>133</v>
      </c>
      <c r="H51" s="16" t="n">
        <v>30</v>
      </c>
      <c r="I51" s="16" t="n">
        <v>16</v>
      </c>
      <c r="J51" s="16" t="n">
        <v>9</v>
      </c>
      <c r="K51" s="16" t="n">
        <v>3</v>
      </c>
      <c r="L51" s="16" t="s">
        <v>68</v>
      </c>
      <c r="M51" s="16" t="n">
        <v>7.09583315655514</v>
      </c>
      <c r="N51" s="16" t="s">
        <v>56</v>
      </c>
      <c r="O51" s="16" t="s">
        <v>76</v>
      </c>
      <c r="P51" s="16" t="n">
        <v>9</v>
      </c>
      <c r="Q51" s="16" t="n">
        <v>109</v>
      </c>
      <c r="R51" s="16" t="n">
        <v>18</v>
      </c>
      <c r="S51" s="16" t="n">
        <v>23.1263635824648</v>
      </c>
      <c r="T51" s="21" t="s">
        <v>54</v>
      </c>
      <c r="U51" s="16" t="n">
        <v>1.6981125407144</v>
      </c>
      <c r="V51" s="16" t="s">
        <v>52</v>
      </c>
      <c r="W51" s="16" t="s">
        <v>90</v>
      </c>
      <c r="X51" s="16" t="n">
        <v>768.65191395437</v>
      </c>
    </row>
    <row r="52" customFormat="false" ht="15" hidden="false" customHeight="false" outlineLevel="0" collapsed="false">
      <c r="A52" s="18" t="s">
        <v>38</v>
      </c>
      <c r="B52" s="18" t="s">
        <v>180</v>
      </c>
      <c r="C52" s="18" t="n">
        <v>78.89791320564</v>
      </c>
      <c r="D52" s="18" t="n">
        <v>19</v>
      </c>
      <c r="E52" s="18" t="n">
        <v>99</v>
      </c>
      <c r="F52" s="18" t="n">
        <v>8001.613206519</v>
      </c>
      <c r="G52" s="18" t="s">
        <v>136</v>
      </c>
      <c r="H52" s="18" t="n">
        <v>97</v>
      </c>
      <c r="I52" s="18" t="n">
        <v>24</v>
      </c>
      <c r="J52" s="18" t="n">
        <v>9</v>
      </c>
      <c r="K52" s="18" t="n">
        <v>6</v>
      </c>
      <c r="L52" s="18" t="s">
        <v>68</v>
      </c>
      <c r="M52" s="18" t="n">
        <v>2.50562103290092</v>
      </c>
      <c r="N52" s="18" t="s">
        <v>78</v>
      </c>
      <c r="O52" s="18" t="s">
        <v>61</v>
      </c>
      <c r="P52" s="18" t="n">
        <v>28</v>
      </c>
      <c r="Q52" s="18" t="n">
        <v>177</v>
      </c>
      <c r="R52" s="18" t="n">
        <v>28</v>
      </c>
      <c r="S52" s="18" t="n">
        <v>14.1478154439792</v>
      </c>
      <c r="T52" s="23" t="s">
        <v>65</v>
      </c>
      <c r="U52" s="18" t="n">
        <v>2.82581398540013</v>
      </c>
      <c r="V52" s="18" t="s">
        <v>52</v>
      </c>
      <c r="W52" s="18" t="s">
        <v>85</v>
      </c>
      <c r="X52" s="18" t="n">
        <v>336.890168519978</v>
      </c>
    </row>
    <row r="53" customFormat="false" ht="15" hidden="false" customHeight="false" outlineLevel="0" collapsed="false">
      <c r="A53" s="16" t="s">
        <v>38</v>
      </c>
      <c r="B53" s="16" t="s">
        <v>181</v>
      </c>
      <c r="C53" s="16" t="n">
        <v>14.203484264803</v>
      </c>
      <c r="D53" s="16" t="n">
        <v>91</v>
      </c>
      <c r="E53" s="16" t="n">
        <v>633</v>
      </c>
      <c r="F53" s="16" t="n">
        <v>5910.8853896689</v>
      </c>
      <c r="G53" s="16" t="s">
        <v>135</v>
      </c>
      <c r="H53" s="16" t="n">
        <v>31</v>
      </c>
      <c r="I53" s="16" t="n">
        <v>23</v>
      </c>
      <c r="J53" s="16" t="n">
        <v>82</v>
      </c>
      <c r="K53" s="16" t="n">
        <v>10</v>
      </c>
      <c r="L53" s="16" t="s">
        <v>47</v>
      </c>
      <c r="M53" s="16" t="n">
        <v>6.24786091497599</v>
      </c>
      <c r="N53" s="16" t="s">
        <v>56</v>
      </c>
      <c r="O53" s="16" t="s">
        <v>61</v>
      </c>
      <c r="P53" s="16" t="n">
        <v>20</v>
      </c>
      <c r="Q53" s="16" t="n">
        <v>306</v>
      </c>
      <c r="R53" s="16" t="n">
        <v>21</v>
      </c>
      <c r="S53" s="16" t="n">
        <v>45.1787579246345</v>
      </c>
      <c r="T53" s="21" t="s">
        <v>54</v>
      </c>
      <c r="U53" s="16" t="n">
        <v>4.75480080467119</v>
      </c>
      <c r="V53" s="16" t="s">
        <v>52</v>
      </c>
      <c r="W53" s="16" t="s">
        <v>90</v>
      </c>
      <c r="X53" s="16" t="n">
        <v>496.248650291941</v>
      </c>
    </row>
    <row r="54" customFormat="false" ht="15" hidden="false" customHeight="false" outlineLevel="0" collapsed="false">
      <c r="A54" s="18" t="s">
        <v>48</v>
      </c>
      <c r="B54" s="18" t="s">
        <v>88</v>
      </c>
      <c r="C54" s="18" t="n">
        <v>26.7007609724617</v>
      </c>
      <c r="D54" s="18" t="n">
        <v>61</v>
      </c>
      <c r="E54" s="18" t="n">
        <v>154</v>
      </c>
      <c r="F54" s="18" t="n">
        <v>9866.4654579797</v>
      </c>
      <c r="G54" s="18" t="s">
        <v>141</v>
      </c>
      <c r="H54" s="18" t="n">
        <v>100</v>
      </c>
      <c r="I54" s="18" t="n">
        <v>4</v>
      </c>
      <c r="J54" s="18" t="n">
        <v>52</v>
      </c>
      <c r="K54" s="18" t="n">
        <v>1</v>
      </c>
      <c r="L54" s="18" t="s">
        <v>47</v>
      </c>
      <c r="M54" s="18" t="n">
        <v>4.78300055794767</v>
      </c>
      <c r="N54" s="18" t="s">
        <v>78</v>
      </c>
      <c r="O54" s="18" t="s">
        <v>40</v>
      </c>
      <c r="P54" s="18" t="n">
        <v>18</v>
      </c>
      <c r="Q54" s="18" t="n">
        <v>673</v>
      </c>
      <c r="R54" s="18" t="n">
        <v>28</v>
      </c>
      <c r="S54" s="18" t="n">
        <v>14.19032834457</v>
      </c>
      <c r="T54" s="19" t="s">
        <v>44</v>
      </c>
      <c r="U54" s="18" t="n">
        <v>1.77295117208356</v>
      </c>
      <c r="V54" s="18" t="s">
        <v>63</v>
      </c>
      <c r="W54" s="18" t="s">
        <v>85</v>
      </c>
      <c r="X54" s="18" t="n">
        <v>694.982317579446</v>
      </c>
    </row>
    <row r="55" customFormat="false" ht="15" hidden="false" customHeight="false" outlineLevel="0" collapsed="false">
      <c r="A55" s="16" t="s">
        <v>59</v>
      </c>
      <c r="B55" s="16" t="s">
        <v>106</v>
      </c>
      <c r="C55" s="16" t="n">
        <v>98.0318296564651</v>
      </c>
      <c r="D55" s="16" t="n">
        <v>1</v>
      </c>
      <c r="E55" s="16" t="n">
        <v>820</v>
      </c>
      <c r="F55" s="16" t="n">
        <v>9435.76260891213</v>
      </c>
      <c r="G55" s="16" t="s">
        <v>141</v>
      </c>
      <c r="H55" s="16" t="n">
        <v>64</v>
      </c>
      <c r="I55" s="16" t="n">
        <v>11</v>
      </c>
      <c r="J55" s="16" t="n">
        <v>11</v>
      </c>
      <c r="K55" s="16" t="n">
        <v>1</v>
      </c>
      <c r="L55" s="16" t="s">
        <v>57</v>
      </c>
      <c r="M55" s="16" t="n">
        <v>8.63105217976895</v>
      </c>
      <c r="N55" s="16" t="s">
        <v>46</v>
      </c>
      <c r="O55" s="16" t="s">
        <v>76</v>
      </c>
      <c r="P55" s="16" t="n">
        <v>10</v>
      </c>
      <c r="Q55" s="16" t="n">
        <v>727</v>
      </c>
      <c r="R55" s="16" t="n">
        <v>27</v>
      </c>
      <c r="S55" s="16" t="n">
        <v>9.16684914859715</v>
      </c>
      <c r="T55" s="17" t="s">
        <v>44</v>
      </c>
      <c r="U55" s="16" t="n">
        <v>2.12247161914383</v>
      </c>
      <c r="V55" s="16" t="s">
        <v>42</v>
      </c>
      <c r="W55" s="16" t="s">
        <v>95</v>
      </c>
      <c r="X55" s="16" t="n">
        <v>602.898498838383</v>
      </c>
    </row>
    <row r="56" customFormat="false" ht="15" hidden="false" customHeight="false" outlineLevel="0" collapsed="false">
      <c r="A56" s="18" t="s">
        <v>59</v>
      </c>
      <c r="B56" s="18" t="s">
        <v>182</v>
      </c>
      <c r="C56" s="18" t="n">
        <v>30.3414707112142</v>
      </c>
      <c r="D56" s="18" t="n">
        <v>93</v>
      </c>
      <c r="E56" s="18" t="n">
        <v>242</v>
      </c>
      <c r="F56" s="18" t="n">
        <v>8232.33482942582</v>
      </c>
      <c r="G56" s="18" t="s">
        <v>141</v>
      </c>
      <c r="H56" s="18" t="n">
        <v>96</v>
      </c>
      <c r="I56" s="18" t="n">
        <v>25</v>
      </c>
      <c r="J56" s="18" t="n">
        <v>54</v>
      </c>
      <c r="K56" s="18" t="n">
        <v>3</v>
      </c>
      <c r="L56" s="18" t="s">
        <v>57</v>
      </c>
      <c r="M56" s="18" t="n">
        <v>1.0134865660959</v>
      </c>
      <c r="N56" s="18" t="s">
        <v>46</v>
      </c>
      <c r="O56" s="18" t="s">
        <v>61</v>
      </c>
      <c r="P56" s="18" t="n">
        <v>1</v>
      </c>
      <c r="Q56" s="18" t="n">
        <v>631</v>
      </c>
      <c r="R56" s="18" t="n">
        <v>17</v>
      </c>
      <c r="S56" s="18" t="n">
        <v>83.344058991678</v>
      </c>
      <c r="T56" s="19" t="s">
        <v>44</v>
      </c>
      <c r="U56" s="18" t="n">
        <v>1.41034757607603</v>
      </c>
      <c r="V56" s="18" t="s">
        <v>42</v>
      </c>
      <c r="W56" s="18" t="s">
        <v>90</v>
      </c>
      <c r="X56" s="18" t="n">
        <v>750.737840668271</v>
      </c>
    </row>
    <row r="57" customFormat="false" ht="15" hidden="false" customHeight="false" outlineLevel="0" collapsed="false">
      <c r="A57" s="16" t="s">
        <v>48</v>
      </c>
      <c r="B57" s="16" t="s">
        <v>183</v>
      </c>
      <c r="C57" s="16" t="n">
        <v>31.1462431602409</v>
      </c>
      <c r="D57" s="16" t="n">
        <v>11</v>
      </c>
      <c r="E57" s="16" t="n">
        <v>622</v>
      </c>
      <c r="F57" s="16" t="n">
        <v>6088.02147994086</v>
      </c>
      <c r="G57" s="16" t="s">
        <v>133</v>
      </c>
      <c r="H57" s="16" t="n">
        <v>33</v>
      </c>
      <c r="I57" s="16" t="n">
        <v>22</v>
      </c>
      <c r="J57" s="16" t="n">
        <v>61</v>
      </c>
      <c r="K57" s="16" t="n">
        <v>3</v>
      </c>
      <c r="L57" s="16" t="s">
        <v>57</v>
      </c>
      <c r="M57" s="16" t="n">
        <v>4.30510347128764</v>
      </c>
      <c r="N57" s="16" t="s">
        <v>46</v>
      </c>
      <c r="O57" s="16" t="s">
        <v>71</v>
      </c>
      <c r="P57" s="16" t="n">
        <v>26</v>
      </c>
      <c r="Q57" s="16" t="n">
        <v>497</v>
      </c>
      <c r="R57" s="16" t="n">
        <v>29</v>
      </c>
      <c r="S57" s="16" t="n">
        <v>30.1860233758225</v>
      </c>
      <c r="T57" s="22" t="s">
        <v>65</v>
      </c>
      <c r="U57" s="16" t="n">
        <v>2.47877197553975</v>
      </c>
      <c r="V57" s="16" t="s">
        <v>63</v>
      </c>
      <c r="W57" s="16" t="s">
        <v>90</v>
      </c>
      <c r="X57" s="16" t="n">
        <v>814.069996582188</v>
      </c>
    </row>
    <row r="58" customFormat="false" ht="15" hidden="false" customHeight="false" outlineLevel="0" collapsed="false">
      <c r="A58" s="18" t="s">
        <v>48</v>
      </c>
      <c r="B58" s="18" t="s">
        <v>184</v>
      </c>
      <c r="C58" s="18" t="n">
        <v>79.8550583407894</v>
      </c>
      <c r="D58" s="18" t="n">
        <v>16</v>
      </c>
      <c r="E58" s="18" t="n">
        <v>701</v>
      </c>
      <c r="F58" s="18" t="n">
        <v>2925.67517030381</v>
      </c>
      <c r="G58" s="18" t="s">
        <v>141</v>
      </c>
      <c r="H58" s="18" t="n">
        <v>97</v>
      </c>
      <c r="I58" s="18" t="n">
        <v>11</v>
      </c>
      <c r="J58" s="18" t="n">
        <v>11</v>
      </c>
      <c r="K58" s="18" t="n">
        <v>5</v>
      </c>
      <c r="L58" s="18" t="s">
        <v>47</v>
      </c>
      <c r="M58" s="18" t="n">
        <v>5.01436495503091</v>
      </c>
      <c r="N58" s="18" t="s">
        <v>56</v>
      </c>
      <c r="O58" s="18" t="s">
        <v>61</v>
      </c>
      <c r="P58" s="18" t="n">
        <v>27</v>
      </c>
      <c r="Q58" s="18" t="n">
        <v>918</v>
      </c>
      <c r="R58" s="18" t="n">
        <v>5</v>
      </c>
      <c r="S58" s="18" t="n">
        <v>30.3235452566165</v>
      </c>
      <c r="T58" s="20" t="s">
        <v>54</v>
      </c>
      <c r="U58" s="18" t="n">
        <v>4.54891965939639</v>
      </c>
      <c r="V58" s="18" t="s">
        <v>73</v>
      </c>
      <c r="W58" s="18" t="s">
        <v>90</v>
      </c>
      <c r="X58" s="18" t="n">
        <v>323.012927952479</v>
      </c>
    </row>
    <row r="59" customFormat="false" ht="15" hidden="false" customHeight="false" outlineLevel="0" collapsed="false">
      <c r="A59" s="16" t="s">
        <v>59</v>
      </c>
      <c r="B59" s="16" t="s">
        <v>185</v>
      </c>
      <c r="C59" s="16" t="n">
        <v>20.9863860370434</v>
      </c>
      <c r="D59" s="16" t="n">
        <v>90</v>
      </c>
      <c r="E59" s="16" t="n">
        <v>93</v>
      </c>
      <c r="F59" s="16" t="n">
        <v>4767.02048434414</v>
      </c>
      <c r="G59" s="16" t="s">
        <v>133</v>
      </c>
      <c r="H59" s="16" t="n">
        <v>25</v>
      </c>
      <c r="I59" s="16" t="n">
        <v>23</v>
      </c>
      <c r="J59" s="16" t="n">
        <v>83</v>
      </c>
      <c r="K59" s="16" t="n">
        <v>5</v>
      </c>
      <c r="L59" s="16" t="s">
        <v>68</v>
      </c>
      <c r="M59" s="16" t="n">
        <v>1.77442971407174</v>
      </c>
      <c r="N59" s="16" t="s">
        <v>46</v>
      </c>
      <c r="O59" s="16" t="s">
        <v>76</v>
      </c>
      <c r="P59" s="16" t="n">
        <v>24</v>
      </c>
      <c r="Q59" s="16" t="n">
        <v>826</v>
      </c>
      <c r="R59" s="16" t="n">
        <v>28</v>
      </c>
      <c r="S59" s="16" t="n">
        <v>12.8362845728328</v>
      </c>
      <c r="T59" s="22" t="s">
        <v>65</v>
      </c>
      <c r="U59" s="16" t="n">
        <v>1.17375549538745</v>
      </c>
      <c r="V59" s="16" t="s">
        <v>42</v>
      </c>
      <c r="W59" s="16" t="s">
        <v>90</v>
      </c>
      <c r="X59" s="16" t="n">
        <v>832.210808706022</v>
      </c>
    </row>
    <row r="60" customFormat="false" ht="15" hidden="false" customHeight="false" outlineLevel="0" collapsed="false">
      <c r="A60" s="18" t="s">
        <v>48</v>
      </c>
      <c r="B60" s="18" t="s">
        <v>186</v>
      </c>
      <c r="C60" s="18" t="n">
        <v>49.2632053507342</v>
      </c>
      <c r="D60" s="18" t="n">
        <v>65</v>
      </c>
      <c r="E60" s="18" t="n">
        <v>227</v>
      </c>
      <c r="F60" s="18" t="n">
        <v>1605.86690039241</v>
      </c>
      <c r="G60" s="18" t="s">
        <v>136</v>
      </c>
      <c r="H60" s="18" t="n">
        <v>5</v>
      </c>
      <c r="I60" s="18" t="n">
        <v>18</v>
      </c>
      <c r="J60" s="18" t="n">
        <v>51</v>
      </c>
      <c r="K60" s="18" t="n">
        <v>1</v>
      </c>
      <c r="L60" s="18" t="s">
        <v>57</v>
      </c>
      <c r="M60" s="18" t="n">
        <v>9.16055853538187</v>
      </c>
      <c r="N60" s="18" t="s">
        <v>56</v>
      </c>
      <c r="O60" s="18" t="s">
        <v>61</v>
      </c>
      <c r="P60" s="18" t="n">
        <v>21</v>
      </c>
      <c r="Q60" s="18" t="n">
        <v>588</v>
      </c>
      <c r="R60" s="18" t="n">
        <v>25</v>
      </c>
      <c r="S60" s="18" t="n">
        <v>67.7796229870781</v>
      </c>
      <c r="T60" s="19" t="s">
        <v>44</v>
      </c>
      <c r="U60" s="18" t="n">
        <v>2.51117483021271</v>
      </c>
      <c r="V60" s="18" t="s">
        <v>52</v>
      </c>
      <c r="W60" s="18" t="s">
        <v>85</v>
      </c>
      <c r="X60" s="18" t="n">
        <v>482.191238602528</v>
      </c>
    </row>
    <row r="61" customFormat="false" ht="15" hidden="false" customHeight="false" outlineLevel="0" collapsed="false">
      <c r="A61" s="16" t="s">
        <v>59</v>
      </c>
      <c r="B61" s="16" t="s">
        <v>187</v>
      </c>
      <c r="C61" s="16" t="n">
        <v>59.8415613772893</v>
      </c>
      <c r="D61" s="16" t="n">
        <v>81</v>
      </c>
      <c r="E61" s="16" t="n">
        <v>896</v>
      </c>
      <c r="F61" s="16" t="n">
        <v>2021.14981033711</v>
      </c>
      <c r="G61" s="16" t="s">
        <v>133</v>
      </c>
      <c r="H61" s="16" t="n">
        <v>10</v>
      </c>
      <c r="I61" s="16" t="n">
        <v>5</v>
      </c>
      <c r="J61" s="16" t="n">
        <v>44</v>
      </c>
      <c r="K61" s="16" t="n">
        <v>7</v>
      </c>
      <c r="L61" s="16" t="s">
        <v>47</v>
      </c>
      <c r="M61" s="16" t="n">
        <v>4.93843856471209</v>
      </c>
      <c r="N61" s="16" t="s">
        <v>67</v>
      </c>
      <c r="O61" s="16" t="s">
        <v>61</v>
      </c>
      <c r="P61" s="16" t="n">
        <v>18</v>
      </c>
      <c r="Q61" s="16" t="n">
        <v>396</v>
      </c>
      <c r="R61" s="16" t="n">
        <v>7</v>
      </c>
      <c r="S61" s="16" t="n">
        <v>65.0474150946915</v>
      </c>
      <c r="T61" s="21" t="s">
        <v>54</v>
      </c>
      <c r="U61" s="16" t="n">
        <v>1.7303747198592</v>
      </c>
      <c r="V61" s="16" t="s">
        <v>63</v>
      </c>
      <c r="W61" s="16" t="s">
        <v>90</v>
      </c>
      <c r="X61" s="16" t="n">
        <v>110.364335231365</v>
      </c>
    </row>
    <row r="62" customFormat="false" ht="15" hidden="false" customHeight="false" outlineLevel="0" collapsed="false">
      <c r="A62" s="18" t="s">
        <v>38</v>
      </c>
      <c r="B62" s="18" t="s">
        <v>188</v>
      </c>
      <c r="C62" s="18" t="n">
        <v>63.828398347711</v>
      </c>
      <c r="D62" s="18" t="n">
        <v>30</v>
      </c>
      <c r="E62" s="18" t="n">
        <v>484</v>
      </c>
      <c r="F62" s="18" t="n">
        <v>1061.61852301329</v>
      </c>
      <c r="G62" s="18" t="s">
        <v>133</v>
      </c>
      <c r="H62" s="18" t="n">
        <v>100</v>
      </c>
      <c r="I62" s="18" t="n">
        <v>16</v>
      </c>
      <c r="J62" s="18" t="n">
        <v>26</v>
      </c>
      <c r="K62" s="18" t="n">
        <v>7</v>
      </c>
      <c r="L62" s="18" t="s">
        <v>57</v>
      </c>
      <c r="M62" s="18" t="n">
        <v>7.29372259686773</v>
      </c>
      <c r="N62" s="18" t="s">
        <v>46</v>
      </c>
      <c r="O62" s="18" t="s">
        <v>71</v>
      </c>
      <c r="P62" s="18" t="n">
        <v>11</v>
      </c>
      <c r="Q62" s="18" t="n">
        <v>176</v>
      </c>
      <c r="R62" s="18" t="n">
        <v>4</v>
      </c>
      <c r="S62" s="18" t="n">
        <v>1.90076224351946</v>
      </c>
      <c r="T62" s="20" t="s">
        <v>54</v>
      </c>
      <c r="U62" s="18" t="n">
        <v>0.447194015463823</v>
      </c>
      <c r="V62" s="18" t="s">
        <v>42</v>
      </c>
      <c r="W62" s="18" t="s">
        <v>85</v>
      </c>
      <c r="X62" s="18" t="n">
        <v>312.574273610093</v>
      </c>
    </row>
    <row r="63" customFormat="false" ht="15" hidden="false" customHeight="false" outlineLevel="0" collapsed="false">
      <c r="A63" s="16" t="s">
        <v>59</v>
      </c>
      <c r="B63" s="16" t="s">
        <v>189</v>
      </c>
      <c r="C63" s="16" t="n">
        <v>17.0280279201887</v>
      </c>
      <c r="D63" s="16" t="n">
        <v>16</v>
      </c>
      <c r="E63" s="16" t="n">
        <v>380</v>
      </c>
      <c r="F63" s="16" t="n">
        <v>8864.08434958644</v>
      </c>
      <c r="G63" s="16" t="s">
        <v>135</v>
      </c>
      <c r="H63" s="16" t="n">
        <v>41</v>
      </c>
      <c r="I63" s="16" t="n">
        <v>27</v>
      </c>
      <c r="J63" s="16" t="n">
        <v>72</v>
      </c>
      <c r="K63" s="16" t="n">
        <v>8</v>
      </c>
      <c r="L63" s="16" t="s">
        <v>68</v>
      </c>
      <c r="M63" s="16" t="n">
        <v>4.38136815810232</v>
      </c>
      <c r="N63" s="16" t="s">
        <v>75</v>
      </c>
      <c r="O63" s="16" t="s">
        <v>76</v>
      </c>
      <c r="P63" s="16" t="n">
        <v>29</v>
      </c>
      <c r="Q63" s="16" t="n">
        <v>929</v>
      </c>
      <c r="R63" s="16" t="n">
        <v>24</v>
      </c>
      <c r="S63" s="16" t="n">
        <v>87.2130578151357</v>
      </c>
      <c r="T63" s="21" t="s">
        <v>54</v>
      </c>
      <c r="U63" s="16" t="n">
        <v>2.85309061664905</v>
      </c>
      <c r="V63" s="16" t="s">
        <v>52</v>
      </c>
      <c r="W63" s="16" t="s">
        <v>85</v>
      </c>
      <c r="X63" s="16" t="n">
        <v>430.169096975137</v>
      </c>
    </row>
    <row r="64" customFormat="false" ht="15" hidden="false" customHeight="false" outlineLevel="0" collapsed="false">
      <c r="A64" s="18" t="s">
        <v>48</v>
      </c>
      <c r="B64" s="18" t="s">
        <v>190</v>
      </c>
      <c r="C64" s="18" t="n">
        <v>52.0287499032949</v>
      </c>
      <c r="D64" s="18" t="n">
        <v>23</v>
      </c>
      <c r="E64" s="18" t="n">
        <v>117</v>
      </c>
      <c r="F64" s="18" t="n">
        <v>6885.58935089625</v>
      </c>
      <c r="G64" s="18" t="s">
        <v>136</v>
      </c>
      <c r="H64" s="18" t="n">
        <v>32</v>
      </c>
      <c r="I64" s="18" t="n">
        <v>23</v>
      </c>
      <c r="J64" s="18" t="n">
        <v>36</v>
      </c>
      <c r="K64" s="18" t="n">
        <v>7</v>
      </c>
      <c r="L64" s="18" t="s">
        <v>68</v>
      </c>
      <c r="M64" s="18" t="n">
        <v>9.03034042252195</v>
      </c>
      <c r="N64" s="18" t="s">
        <v>75</v>
      </c>
      <c r="O64" s="18" t="s">
        <v>71</v>
      </c>
      <c r="P64" s="18" t="n">
        <v>14</v>
      </c>
      <c r="Q64" s="18" t="n">
        <v>480</v>
      </c>
      <c r="R64" s="18" t="n">
        <v>12</v>
      </c>
      <c r="S64" s="18" t="n">
        <v>78.7023939688789</v>
      </c>
      <c r="T64" s="20" t="s">
        <v>54</v>
      </c>
      <c r="U64" s="18" t="n">
        <v>4.36747053820505</v>
      </c>
      <c r="V64" s="18" t="s">
        <v>42</v>
      </c>
      <c r="W64" s="18" t="s">
        <v>85</v>
      </c>
      <c r="X64" s="18" t="n">
        <v>164.366528243419</v>
      </c>
    </row>
    <row r="65" customFormat="false" ht="15" hidden="false" customHeight="false" outlineLevel="0" collapsed="false">
      <c r="A65" s="16" t="s">
        <v>38</v>
      </c>
      <c r="B65" s="16" t="s">
        <v>191</v>
      </c>
      <c r="C65" s="16" t="n">
        <v>72.7963539555874</v>
      </c>
      <c r="D65" s="16" t="n">
        <v>89</v>
      </c>
      <c r="E65" s="16" t="n">
        <v>270</v>
      </c>
      <c r="F65" s="16" t="n">
        <v>3899.74683372922</v>
      </c>
      <c r="G65" s="16" t="s">
        <v>136</v>
      </c>
      <c r="H65" s="16" t="n">
        <v>86</v>
      </c>
      <c r="I65" s="16" t="n">
        <v>2</v>
      </c>
      <c r="J65" s="16" t="n">
        <v>40</v>
      </c>
      <c r="K65" s="16" t="n">
        <v>7</v>
      </c>
      <c r="L65" s="16" t="s">
        <v>68</v>
      </c>
      <c r="M65" s="16" t="n">
        <v>7.29170138877678</v>
      </c>
      <c r="N65" s="16" t="s">
        <v>56</v>
      </c>
      <c r="O65" s="16" t="s">
        <v>76</v>
      </c>
      <c r="P65" s="16" t="n">
        <v>13</v>
      </c>
      <c r="Q65" s="16" t="n">
        <v>751</v>
      </c>
      <c r="R65" s="16" t="n">
        <v>14</v>
      </c>
      <c r="S65" s="16" t="n">
        <v>21.0486427251686</v>
      </c>
      <c r="T65" s="22" t="s">
        <v>65</v>
      </c>
      <c r="U65" s="16" t="n">
        <v>1.87400140404438</v>
      </c>
      <c r="V65" s="16" t="s">
        <v>73</v>
      </c>
      <c r="W65" s="16" t="s">
        <v>95</v>
      </c>
      <c r="X65" s="16" t="n">
        <v>320.846515759112</v>
      </c>
    </row>
    <row r="66" customFormat="false" ht="15" hidden="false" customHeight="false" outlineLevel="0" collapsed="false">
      <c r="A66" s="18" t="s">
        <v>59</v>
      </c>
      <c r="B66" s="18" t="s">
        <v>192</v>
      </c>
      <c r="C66" s="18" t="n">
        <v>13.0173767852879</v>
      </c>
      <c r="D66" s="18" t="n">
        <v>55</v>
      </c>
      <c r="E66" s="18" t="n">
        <v>246</v>
      </c>
      <c r="F66" s="18" t="n">
        <v>4256.94914085023</v>
      </c>
      <c r="G66" s="18" t="s">
        <v>133</v>
      </c>
      <c r="H66" s="18" t="n">
        <v>54</v>
      </c>
      <c r="I66" s="18" t="n">
        <v>19</v>
      </c>
      <c r="J66" s="18" t="n">
        <v>10</v>
      </c>
      <c r="K66" s="18" t="n">
        <v>4</v>
      </c>
      <c r="L66" s="18" t="s">
        <v>47</v>
      </c>
      <c r="M66" s="18" t="n">
        <v>2.45793352798733</v>
      </c>
      <c r="N66" s="18" t="s">
        <v>67</v>
      </c>
      <c r="O66" s="18" t="s">
        <v>40</v>
      </c>
      <c r="P66" s="18" t="n">
        <v>18</v>
      </c>
      <c r="Q66" s="18" t="n">
        <v>736</v>
      </c>
      <c r="R66" s="18" t="n">
        <v>10</v>
      </c>
      <c r="S66" s="18" t="n">
        <v>20.0750039756305</v>
      </c>
      <c r="T66" s="19" t="s">
        <v>44</v>
      </c>
      <c r="U66" s="18" t="n">
        <v>3.63284329038213</v>
      </c>
      <c r="V66" s="18" t="s">
        <v>73</v>
      </c>
      <c r="W66" s="18" t="s">
        <v>85</v>
      </c>
      <c r="X66" s="18" t="n">
        <v>687.286177866417</v>
      </c>
    </row>
    <row r="67" customFormat="false" ht="15" hidden="false" customHeight="false" outlineLevel="0" collapsed="false">
      <c r="A67" s="16" t="s">
        <v>59</v>
      </c>
      <c r="B67" s="16" t="s">
        <v>193</v>
      </c>
      <c r="C67" s="16" t="n">
        <v>89.6340956081353</v>
      </c>
      <c r="D67" s="16" t="n">
        <v>11</v>
      </c>
      <c r="E67" s="16" t="n">
        <v>134</v>
      </c>
      <c r="F67" s="16" t="n">
        <v>8458.73087836718</v>
      </c>
      <c r="G67" s="16" t="s">
        <v>135</v>
      </c>
      <c r="H67" s="16" t="n">
        <v>73</v>
      </c>
      <c r="I67" s="16" t="n">
        <v>27</v>
      </c>
      <c r="J67" s="16" t="n">
        <v>75</v>
      </c>
      <c r="K67" s="16" t="n">
        <v>6</v>
      </c>
      <c r="L67" s="16" t="s">
        <v>68</v>
      </c>
      <c r="M67" s="16" t="n">
        <v>4.58535346819465</v>
      </c>
      <c r="N67" s="16" t="s">
        <v>46</v>
      </c>
      <c r="O67" s="16" t="s">
        <v>61</v>
      </c>
      <c r="P67" s="16" t="n">
        <v>17</v>
      </c>
      <c r="Q67" s="16" t="n">
        <v>328</v>
      </c>
      <c r="R67" s="16" t="n">
        <v>6</v>
      </c>
      <c r="S67" s="16" t="n">
        <v>8.69304242587729</v>
      </c>
      <c r="T67" s="21" t="s">
        <v>54</v>
      </c>
      <c r="U67" s="16" t="n">
        <v>0.159486314717515</v>
      </c>
      <c r="V67" s="16" t="s">
        <v>42</v>
      </c>
      <c r="W67" s="16" t="s">
        <v>95</v>
      </c>
      <c r="X67" s="16" t="n">
        <v>771.225084681158</v>
      </c>
    </row>
    <row r="68" customFormat="false" ht="15" hidden="false" customHeight="false" outlineLevel="0" collapsed="false">
      <c r="A68" s="18" t="s">
        <v>59</v>
      </c>
      <c r="B68" s="18" t="s">
        <v>194</v>
      </c>
      <c r="C68" s="18" t="n">
        <v>33.6977172066431</v>
      </c>
      <c r="D68" s="18" t="n">
        <v>72</v>
      </c>
      <c r="E68" s="18" t="n">
        <v>457</v>
      </c>
      <c r="F68" s="18" t="n">
        <v>8354.579686482</v>
      </c>
      <c r="G68" s="18" t="s">
        <v>141</v>
      </c>
      <c r="H68" s="18" t="n">
        <v>57</v>
      </c>
      <c r="I68" s="18" t="n">
        <v>24</v>
      </c>
      <c r="J68" s="18" t="n">
        <v>54</v>
      </c>
      <c r="K68" s="18" t="n">
        <v>8</v>
      </c>
      <c r="L68" s="18" t="s">
        <v>68</v>
      </c>
      <c r="M68" s="18" t="n">
        <v>6.5805413478846</v>
      </c>
      <c r="N68" s="18" t="s">
        <v>78</v>
      </c>
      <c r="O68" s="18" t="s">
        <v>71</v>
      </c>
      <c r="P68" s="18" t="n">
        <v>16</v>
      </c>
      <c r="Q68" s="18" t="n">
        <v>358</v>
      </c>
      <c r="R68" s="18" t="n">
        <v>21</v>
      </c>
      <c r="S68" s="18" t="n">
        <v>1.59722274305068</v>
      </c>
      <c r="T68" s="20" t="s">
        <v>54</v>
      </c>
      <c r="U68" s="18" t="n">
        <v>4.91109595484233</v>
      </c>
      <c r="V68" s="18" t="s">
        <v>52</v>
      </c>
      <c r="W68" s="18" t="s">
        <v>95</v>
      </c>
      <c r="X68" s="18" t="n">
        <v>555.859103671744</v>
      </c>
    </row>
    <row r="69" customFormat="false" ht="15" hidden="false" customHeight="false" outlineLevel="0" collapsed="false">
      <c r="A69" s="16" t="s">
        <v>59</v>
      </c>
      <c r="B69" s="16" t="s">
        <v>195</v>
      </c>
      <c r="C69" s="16" t="n">
        <v>26.0348697739621</v>
      </c>
      <c r="D69" s="16" t="n">
        <v>52</v>
      </c>
      <c r="E69" s="16" t="n">
        <v>704</v>
      </c>
      <c r="F69" s="16" t="n">
        <v>8367.72161802015</v>
      </c>
      <c r="G69" s="16" t="s">
        <v>135</v>
      </c>
      <c r="H69" s="16" t="n">
        <v>13</v>
      </c>
      <c r="I69" s="16" t="n">
        <v>17</v>
      </c>
      <c r="J69" s="16" t="n">
        <v>19</v>
      </c>
      <c r="K69" s="16" t="n">
        <v>8</v>
      </c>
      <c r="L69" s="16" t="s">
        <v>47</v>
      </c>
      <c r="M69" s="16" t="n">
        <v>2.21614272877136</v>
      </c>
      <c r="N69" s="16" t="s">
        <v>78</v>
      </c>
      <c r="O69" s="16" t="s">
        <v>71</v>
      </c>
      <c r="P69" s="16" t="n">
        <v>24</v>
      </c>
      <c r="Q69" s="16" t="n">
        <v>867</v>
      </c>
      <c r="R69" s="16" t="n">
        <v>28</v>
      </c>
      <c r="S69" s="16" t="n">
        <v>42.08443673831</v>
      </c>
      <c r="T69" s="21" t="s">
        <v>54</v>
      </c>
      <c r="U69" s="16" t="n">
        <v>3.44806328834026</v>
      </c>
      <c r="V69" s="16" t="s">
        <v>63</v>
      </c>
      <c r="W69" s="16" t="s">
        <v>85</v>
      </c>
      <c r="X69" s="16" t="n">
        <v>393.843348578428</v>
      </c>
    </row>
    <row r="70" customFormat="false" ht="15" hidden="false" customHeight="false" outlineLevel="0" collapsed="false">
      <c r="A70" s="18" t="s">
        <v>59</v>
      </c>
      <c r="B70" s="18" t="s">
        <v>104</v>
      </c>
      <c r="C70" s="18" t="n">
        <v>87.7554323540011</v>
      </c>
      <c r="D70" s="18" t="n">
        <v>16</v>
      </c>
      <c r="E70" s="18" t="n">
        <v>513</v>
      </c>
      <c r="F70" s="18" t="n">
        <v>9473.79803250834</v>
      </c>
      <c r="G70" s="18" t="s">
        <v>136</v>
      </c>
      <c r="H70" s="18" t="n">
        <v>12</v>
      </c>
      <c r="I70" s="18" t="n">
        <v>9</v>
      </c>
      <c r="J70" s="18" t="n">
        <v>71</v>
      </c>
      <c r="K70" s="18" t="n">
        <v>9</v>
      </c>
      <c r="L70" s="18" t="s">
        <v>68</v>
      </c>
      <c r="M70" s="18" t="n">
        <v>9.14781154471063</v>
      </c>
      <c r="N70" s="18" t="s">
        <v>46</v>
      </c>
      <c r="O70" s="18" t="s">
        <v>76</v>
      </c>
      <c r="P70" s="18" t="n">
        <v>10</v>
      </c>
      <c r="Q70" s="18" t="n">
        <v>198</v>
      </c>
      <c r="R70" s="18" t="n">
        <v>11</v>
      </c>
      <c r="S70" s="18" t="n">
        <v>7.05787614697823</v>
      </c>
      <c r="T70" s="23" t="s">
        <v>65</v>
      </c>
      <c r="U70" s="18" t="n">
        <v>0.131955444311815</v>
      </c>
      <c r="V70" s="18" t="s">
        <v>73</v>
      </c>
      <c r="W70" s="18" t="s">
        <v>95</v>
      </c>
      <c r="X70" s="18" t="n">
        <v>169.271801384787</v>
      </c>
    </row>
    <row r="71" customFormat="false" ht="15" hidden="false" customHeight="false" outlineLevel="0" collapsed="false">
      <c r="A71" s="16" t="s">
        <v>48</v>
      </c>
      <c r="B71" s="16" t="s">
        <v>196</v>
      </c>
      <c r="C71" s="16" t="n">
        <v>37.9318123827903</v>
      </c>
      <c r="D71" s="16" t="n">
        <v>29</v>
      </c>
      <c r="E71" s="16" t="n">
        <v>163</v>
      </c>
      <c r="F71" s="16" t="n">
        <v>3550.21843278099</v>
      </c>
      <c r="G71" s="16" t="s">
        <v>133</v>
      </c>
      <c r="H71" s="16" t="n">
        <v>0</v>
      </c>
      <c r="I71" s="16" t="n">
        <v>8</v>
      </c>
      <c r="J71" s="16" t="n">
        <v>58</v>
      </c>
      <c r="K71" s="16" t="n">
        <v>8</v>
      </c>
      <c r="L71" s="16" t="s">
        <v>57</v>
      </c>
      <c r="M71" s="16" t="n">
        <v>1.194251864885</v>
      </c>
      <c r="N71" s="16" t="s">
        <v>56</v>
      </c>
      <c r="O71" s="16" t="s">
        <v>40</v>
      </c>
      <c r="P71" s="16" t="n">
        <v>2</v>
      </c>
      <c r="Q71" s="16" t="n">
        <v>375</v>
      </c>
      <c r="R71" s="16" t="n">
        <v>18</v>
      </c>
      <c r="S71" s="16" t="n">
        <v>97.1135815634622</v>
      </c>
      <c r="T71" s="21" t="s">
        <v>54</v>
      </c>
      <c r="U71" s="16" t="n">
        <v>1.98346787217418</v>
      </c>
      <c r="V71" s="16" t="s">
        <v>52</v>
      </c>
      <c r="W71" s="16" t="s">
        <v>85</v>
      </c>
      <c r="X71" s="16" t="n">
        <v>299.706303118103</v>
      </c>
    </row>
    <row r="72" customFormat="false" ht="15" hidden="false" customHeight="false" outlineLevel="0" collapsed="false">
      <c r="A72" s="18" t="s">
        <v>59</v>
      </c>
      <c r="B72" s="18" t="s">
        <v>197</v>
      </c>
      <c r="C72" s="18" t="n">
        <v>54.8655285170698</v>
      </c>
      <c r="D72" s="18" t="n">
        <v>62</v>
      </c>
      <c r="E72" s="18" t="n">
        <v>511</v>
      </c>
      <c r="F72" s="18" t="n">
        <v>1752.38108748413</v>
      </c>
      <c r="G72" s="18" t="s">
        <v>133</v>
      </c>
      <c r="H72" s="18" t="n">
        <v>95</v>
      </c>
      <c r="I72" s="18" t="n">
        <v>1</v>
      </c>
      <c r="J72" s="18" t="n">
        <v>27</v>
      </c>
      <c r="K72" s="18" t="n">
        <v>3</v>
      </c>
      <c r="L72" s="18" t="s">
        <v>57</v>
      </c>
      <c r="M72" s="18" t="n">
        <v>9.70528679012035</v>
      </c>
      <c r="N72" s="18" t="s">
        <v>75</v>
      </c>
      <c r="O72" s="18" t="s">
        <v>71</v>
      </c>
      <c r="P72" s="18" t="n">
        <v>9</v>
      </c>
      <c r="Q72" s="18" t="n">
        <v>862</v>
      </c>
      <c r="R72" s="18" t="n">
        <v>7</v>
      </c>
      <c r="S72" s="18" t="n">
        <v>77.6277658127482</v>
      </c>
      <c r="T72" s="19" t="s">
        <v>44</v>
      </c>
      <c r="U72" s="18" t="n">
        <v>1.36238798864911</v>
      </c>
      <c r="V72" s="18" t="s">
        <v>42</v>
      </c>
      <c r="W72" s="18" t="s">
        <v>85</v>
      </c>
      <c r="X72" s="18" t="n">
        <v>207.663206208576</v>
      </c>
    </row>
    <row r="73" customFormat="false" ht="15" hidden="false" customHeight="false" outlineLevel="0" collapsed="false">
      <c r="A73" s="16" t="s">
        <v>48</v>
      </c>
      <c r="B73" s="16" t="s">
        <v>198</v>
      </c>
      <c r="C73" s="16" t="n">
        <v>47.9145418240588</v>
      </c>
      <c r="D73" s="16" t="n">
        <v>90</v>
      </c>
      <c r="E73" s="16" t="n">
        <v>32</v>
      </c>
      <c r="F73" s="16" t="n">
        <v>7014.88798720339</v>
      </c>
      <c r="G73" s="16" t="s">
        <v>135</v>
      </c>
      <c r="H73" s="16" t="n">
        <v>10</v>
      </c>
      <c r="I73" s="16" t="n">
        <v>12</v>
      </c>
      <c r="J73" s="16" t="n">
        <v>22</v>
      </c>
      <c r="K73" s="16" t="n">
        <v>4</v>
      </c>
      <c r="L73" s="16" t="s">
        <v>57</v>
      </c>
      <c r="M73" s="16" t="n">
        <v>6.31571775460072</v>
      </c>
      <c r="N73" s="16" t="s">
        <v>46</v>
      </c>
      <c r="O73" s="16" t="s">
        <v>40</v>
      </c>
      <c r="P73" s="16" t="n">
        <v>22</v>
      </c>
      <c r="Q73" s="16" t="n">
        <v>775</v>
      </c>
      <c r="R73" s="16" t="n">
        <v>16</v>
      </c>
      <c r="S73" s="16" t="n">
        <v>11.4407818237613</v>
      </c>
      <c r="T73" s="22" t="s">
        <v>65</v>
      </c>
      <c r="U73" s="16" t="n">
        <v>1.83057559861223</v>
      </c>
      <c r="V73" s="16" t="s">
        <v>63</v>
      </c>
      <c r="W73" s="16" t="s">
        <v>95</v>
      </c>
      <c r="X73" s="16" t="n">
        <v>183.272898748711</v>
      </c>
    </row>
    <row r="74" customFormat="false" ht="15" hidden="false" customHeight="false" outlineLevel="0" collapsed="false">
      <c r="A74" s="18" t="s">
        <v>38</v>
      </c>
      <c r="B74" s="18" t="s">
        <v>199</v>
      </c>
      <c r="C74" s="18" t="n">
        <v>6.38153316274797</v>
      </c>
      <c r="D74" s="18" t="n">
        <v>14</v>
      </c>
      <c r="E74" s="18" t="n">
        <v>637</v>
      </c>
      <c r="F74" s="18" t="n">
        <v>8180.33708542544</v>
      </c>
      <c r="G74" s="18" t="s">
        <v>135</v>
      </c>
      <c r="H74" s="18" t="n">
        <v>76</v>
      </c>
      <c r="I74" s="18" t="n">
        <v>2</v>
      </c>
      <c r="J74" s="18" t="n">
        <v>26</v>
      </c>
      <c r="K74" s="18" t="n">
        <v>6</v>
      </c>
      <c r="L74" s="18" t="s">
        <v>47</v>
      </c>
      <c r="M74" s="18" t="n">
        <v>9.22819031705252</v>
      </c>
      <c r="N74" s="18" t="s">
        <v>56</v>
      </c>
      <c r="O74" s="18" t="s">
        <v>40</v>
      </c>
      <c r="P74" s="18" t="n">
        <v>2</v>
      </c>
      <c r="Q74" s="18" t="n">
        <v>258</v>
      </c>
      <c r="R74" s="18" t="n">
        <v>10</v>
      </c>
      <c r="S74" s="18" t="n">
        <v>30.6616774778596</v>
      </c>
      <c r="T74" s="19" t="s">
        <v>44</v>
      </c>
      <c r="U74" s="18" t="n">
        <v>2.07875060787497</v>
      </c>
      <c r="V74" s="18" t="s">
        <v>63</v>
      </c>
      <c r="W74" s="18" t="s">
        <v>85</v>
      </c>
      <c r="X74" s="18" t="n">
        <v>405.167067888856</v>
      </c>
    </row>
    <row r="75" customFormat="false" ht="15" hidden="false" customHeight="false" outlineLevel="0" collapsed="false">
      <c r="A75" s="16" t="s">
        <v>38</v>
      </c>
      <c r="B75" s="16" t="s">
        <v>200</v>
      </c>
      <c r="C75" s="16" t="n">
        <v>90.2044275205281</v>
      </c>
      <c r="D75" s="16" t="n">
        <v>88</v>
      </c>
      <c r="E75" s="16" t="n">
        <v>478</v>
      </c>
      <c r="F75" s="16" t="n">
        <v>2633.12198131226</v>
      </c>
      <c r="G75" s="16" t="s">
        <v>133</v>
      </c>
      <c r="H75" s="16" t="n">
        <v>57</v>
      </c>
      <c r="I75" s="16" t="n">
        <v>29</v>
      </c>
      <c r="J75" s="16" t="n">
        <v>77</v>
      </c>
      <c r="K75" s="16" t="n">
        <v>9</v>
      </c>
      <c r="L75" s="16" t="s">
        <v>47</v>
      </c>
      <c r="M75" s="16" t="n">
        <v>6.59961415968954</v>
      </c>
      <c r="N75" s="16" t="s">
        <v>46</v>
      </c>
      <c r="O75" s="16" t="s">
        <v>40</v>
      </c>
      <c r="P75" s="16" t="n">
        <v>21</v>
      </c>
      <c r="Q75" s="16" t="n">
        <v>152</v>
      </c>
      <c r="R75" s="16" t="n">
        <v>11</v>
      </c>
      <c r="S75" s="16" t="n">
        <v>55.7604928952442</v>
      </c>
      <c r="T75" s="17" t="s">
        <v>44</v>
      </c>
      <c r="U75" s="16" t="n">
        <v>3.21332960743831</v>
      </c>
      <c r="V75" s="16" t="s">
        <v>52</v>
      </c>
      <c r="W75" s="16" t="s">
        <v>90</v>
      </c>
      <c r="X75" s="16" t="n">
        <v>677.944569846183</v>
      </c>
    </row>
    <row r="76" customFormat="false" ht="15" hidden="false" customHeight="false" outlineLevel="0" collapsed="false">
      <c r="A76" s="18" t="s">
        <v>38</v>
      </c>
      <c r="B76" s="18" t="s">
        <v>201</v>
      </c>
      <c r="C76" s="18" t="n">
        <v>83.8510176813046</v>
      </c>
      <c r="D76" s="18" t="n">
        <v>41</v>
      </c>
      <c r="E76" s="18" t="n">
        <v>375</v>
      </c>
      <c r="F76" s="18" t="n">
        <v>7910.88691614069</v>
      </c>
      <c r="G76" s="18" t="s">
        <v>141</v>
      </c>
      <c r="H76" s="18" t="n">
        <v>17</v>
      </c>
      <c r="I76" s="18" t="n">
        <v>25</v>
      </c>
      <c r="J76" s="18" t="n">
        <v>66</v>
      </c>
      <c r="K76" s="18" t="n">
        <v>5</v>
      </c>
      <c r="L76" s="18" t="s">
        <v>57</v>
      </c>
      <c r="M76" s="18" t="n">
        <v>1.51293683691608</v>
      </c>
      <c r="N76" s="18" t="s">
        <v>75</v>
      </c>
      <c r="O76" s="18" t="s">
        <v>50</v>
      </c>
      <c r="P76" s="18" t="n">
        <v>13</v>
      </c>
      <c r="Q76" s="18" t="n">
        <v>444</v>
      </c>
      <c r="R76" s="18" t="n">
        <v>4</v>
      </c>
      <c r="S76" s="18" t="n">
        <v>46.8702387976172</v>
      </c>
      <c r="T76" s="20" t="s">
        <v>54</v>
      </c>
      <c r="U76" s="18" t="n">
        <v>4.62054606451371</v>
      </c>
      <c r="V76" s="18" t="s">
        <v>63</v>
      </c>
      <c r="W76" s="18" t="s">
        <v>85</v>
      </c>
      <c r="X76" s="18" t="n">
        <v>866.472800129658</v>
      </c>
    </row>
    <row r="77" customFormat="false" ht="15" hidden="false" customHeight="false" outlineLevel="0" collapsed="false">
      <c r="A77" s="16" t="s">
        <v>48</v>
      </c>
      <c r="B77" s="16" t="s">
        <v>202</v>
      </c>
      <c r="C77" s="16" t="n">
        <v>3.17001141356616</v>
      </c>
      <c r="D77" s="16" t="n">
        <v>64</v>
      </c>
      <c r="E77" s="16" t="n">
        <v>904</v>
      </c>
      <c r="F77" s="16" t="n">
        <v>5709.94529596929</v>
      </c>
      <c r="G77" s="16" t="s">
        <v>135</v>
      </c>
      <c r="H77" s="16" t="n">
        <v>41</v>
      </c>
      <c r="I77" s="16" t="n">
        <v>6</v>
      </c>
      <c r="J77" s="16" t="n">
        <v>1</v>
      </c>
      <c r="K77" s="16" t="n">
        <v>5</v>
      </c>
      <c r="L77" s="16" t="s">
        <v>47</v>
      </c>
      <c r="M77" s="16" t="n">
        <v>5.23765465003745</v>
      </c>
      <c r="N77" s="16" t="s">
        <v>75</v>
      </c>
      <c r="O77" s="16" t="s">
        <v>61</v>
      </c>
      <c r="P77" s="16" t="n">
        <v>1</v>
      </c>
      <c r="Q77" s="16" t="n">
        <v>919</v>
      </c>
      <c r="R77" s="16" t="n">
        <v>9</v>
      </c>
      <c r="S77" s="16" t="n">
        <v>80.5808521564478</v>
      </c>
      <c r="T77" s="21" t="s">
        <v>54</v>
      </c>
      <c r="U77" s="16" t="n">
        <v>0.396612724109935</v>
      </c>
      <c r="V77" s="16" t="s">
        <v>52</v>
      </c>
      <c r="W77" s="16" t="s">
        <v>85</v>
      </c>
      <c r="X77" s="16" t="n">
        <v>341.552656783223</v>
      </c>
    </row>
    <row r="78" customFormat="false" ht="15" hidden="false" customHeight="false" outlineLevel="0" collapsed="false">
      <c r="A78" s="18" t="s">
        <v>59</v>
      </c>
      <c r="B78" s="18" t="s">
        <v>203</v>
      </c>
      <c r="C78" s="18" t="n">
        <v>92.9968842339707</v>
      </c>
      <c r="D78" s="18" t="n">
        <v>29</v>
      </c>
      <c r="E78" s="18" t="n">
        <v>106</v>
      </c>
      <c r="F78" s="18" t="n">
        <v>1889.07358977934</v>
      </c>
      <c r="G78" s="18" t="s">
        <v>133</v>
      </c>
      <c r="H78" s="18" t="n">
        <v>16</v>
      </c>
      <c r="I78" s="18" t="n">
        <v>20</v>
      </c>
      <c r="J78" s="18" t="n">
        <v>56</v>
      </c>
      <c r="K78" s="18" t="n">
        <v>10</v>
      </c>
      <c r="L78" s="18" t="s">
        <v>68</v>
      </c>
      <c r="M78" s="18" t="n">
        <v>2.47389776104546</v>
      </c>
      <c r="N78" s="18" t="s">
        <v>46</v>
      </c>
      <c r="O78" s="18" t="s">
        <v>50</v>
      </c>
      <c r="P78" s="18" t="n">
        <v>25</v>
      </c>
      <c r="Q78" s="18" t="n">
        <v>759</v>
      </c>
      <c r="R78" s="18" t="n">
        <v>11</v>
      </c>
      <c r="S78" s="18" t="n">
        <v>48.0647826400066</v>
      </c>
      <c r="T78" s="23" t="s">
        <v>65</v>
      </c>
      <c r="U78" s="18" t="n">
        <v>2.03006908866875</v>
      </c>
      <c r="V78" s="18" t="s">
        <v>42</v>
      </c>
      <c r="W78" s="18" t="s">
        <v>95</v>
      </c>
      <c r="X78" s="18" t="n">
        <v>873.129648017651</v>
      </c>
    </row>
    <row r="79" customFormat="false" ht="15" hidden="false" customHeight="false" outlineLevel="0" collapsed="false">
      <c r="A79" s="16" t="s">
        <v>48</v>
      </c>
      <c r="B79" s="16" t="s">
        <v>204</v>
      </c>
      <c r="C79" s="16" t="n">
        <v>69.1087995474303</v>
      </c>
      <c r="D79" s="16" t="n">
        <v>23</v>
      </c>
      <c r="E79" s="16" t="n">
        <v>241</v>
      </c>
      <c r="F79" s="16" t="n">
        <v>5328.37598429776</v>
      </c>
      <c r="G79" s="16" t="s">
        <v>141</v>
      </c>
      <c r="H79" s="16" t="n">
        <v>38</v>
      </c>
      <c r="I79" s="16" t="n">
        <v>1</v>
      </c>
      <c r="J79" s="16" t="n">
        <v>22</v>
      </c>
      <c r="K79" s="16" t="n">
        <v>10</v>
      </c>
      <c r="L79" s="16" t="s">
        <v>47</v>
      </c>
      <c r="M79" s="16" t="n">
        <v>7.05453833683693</v>
      </c>
      <c r="N79" s="16" t="s">
        <v>56</v>
      </c>
      <c r="O79" s="16" t="s">
        <v>40</v>
      </c>
      <c r="P79" s="16" t="n">
        <v>25</v>
      </c>
      <c r="Q79" s="16" t="n">
        <v>985</v>
      </c>
      <c r="R79" s="16" t="n">
        <v>24</v>
      </c>
      <c r="S79" s="16" t="n">
        <v>64.3235977956002</v>
      </c>
      <c r="T79" s="17" t="s">
        <v>44</v>
      </c>
      <c r="U79" s="16" t="n">
        <v>2.18003745158222</v>
      </c>
      <c r="V79" s="16" t="s">
        <v>52</v>
      </c>
      <c r="W79" s="16" t="s">
        <v>85</v>
      </c>
      <c r="X79" s="16" t="n">
        <v>997.413450133195</v>
      </c>
    </row>
    <row r="80" customFormat="false" ht="15" hidden="false" customHeight="false" outlineLevel="0" collapsed="false">
      <c r="A80" s="18" t="s">
        <v>48</v>
      </c>
      <c r="B80" s="18" t="s">
        <v>205</v>
      </c>
      <c r="C80" s="18" t="n">
        <v>57.4497429589715</v>
      </c>
      <c r="D80" s="18" t="n">
        <v>14</v>
      </c>
      <c r="E80" s="18" t="n">
        <v>359</v>
      </c>
      <c r="F80" s="18" t="n">
        <v>2483.7601775428</v>
      </c>
      <c r="G80" s="18" t="s">
        <v>136</v>
      </c>
      <c r="H80" s="18" t="n">
        <v>96</v>
      </c>
      <c r="I80" s="18" t="n">
        <v>28</v>
      </c>
      <c r="J80" s="18" t="n">
        <v>57</v>
      </c>
      <c r="K80" s="18" t="n">
        <v>4</v>
      </c>
      <c r="L80" s="18" t="s">
        <v>57</v>
      </c>
      <c r="M80" s="18" t="n">
        <v>6.7809466256179</v>
      </c>
      <c r="N80" s="18" t="s">
        <v>46</v>
      </c>
      <c r="O80" s="18" t="s">
        <v>71</v>
      </c>
      <c r="P80" s="18" t="n">
        <v>26</v>
      </c>
      <c r="Q80" s="18" t="n">
        <v>334</v>
      </c>
      <c r="R80" s="18" t="n">
        <v>5</v>
      </c>
      <c r="S80" s="18" t="n">
        <v>42.9524447489918</v>
      </c>
      <c r="T80" s="23" t="s">
        <v>65</v>
      </c>
      <c r="U80" s="18" t="n">
        <v>3.05514181830755</v>
      </c>
      <c r="V80" s="18" t="s">
        <v>63</v>
      </c>
      <c r="W80" s="18" t="s">
        <v>90</v>
      </c>
      <c r="X80" s="18" t="n">
        <v>852.56809891985</v>
      </c>
    </row>
    <row r="81" customFormat="false" ht="15" hidden="false" customHeight="false" outlineLevel="0" collapsed="false">
      <c r="A81" s="16" t="s">
        <v>48</v>
      </c>
      <c r="B81" s="16" t="s">
        <v>206</v>
      </c>
      <c r="C81" s="16" t="n">
        <v>6.30688317611192</v>
      </c>
      <c r="D81" s="16" t="n">
        <v>50</v>
      </c>
      <c r="E81" s="16" t="n">
        <v>946</v>
      </c>
      <c r="F81" s="16" t="n">
        <v>1292.45841793776</v>
      </c>
      <c r="G81" s="16" t="s">
        <v>136</v>
      </c>
      <c r="H81" s="16" t="n">
        <v>5</v>
      </c>
      <c r="I81" s="16" t="n">
        <v>4</v>
      </c>
      <c r="J81" s="16" t="n">
        <v>51</v>
      </c>
      <c r="K81" s="16" t="n">
        <v>5</v>
      </c>
      <c r="L81" s="16" t="s">
        <v>57</v>
      </c>
      <c r="M81" s="16" t="n">
        <v>8.46704977086199</v>
      </c>
      <c r="N81" s="16" t="s">
        <v>78</v>
      </c>
      <c r="O81" s="16" t="s">
        <v>76</v>
      </c>
      <c r="P81" s="16" t="n">
        <v>25</v>
      </c>
      <c r="Q81" s="16" t="n">
        <v>858</v>
      </c>
      <c r="R81" s="16" t="n">
        <v>21</v>
      </c>
      <c r="S81" s="16" t="n">
        <v>71.1265147204034</v>
      </c>
      <c r="T81" s="17" t="s">
        <v>44</v>
      </c>
      <c r="U81" s="16" t="n">
        <v>4.09688133247045</v>
      </c>
      <c r="V81" s="16" t="s">
        <v>73</v>
      </c>
      <c r="W81" s="16" t="s">
        <v>95</v>
      </c>
      <c r="X81" s="16" t="n">
        <v>323.592203431322</v>
      </c>
    </row>
    <row r="82" customFormat="false" ht="15" hidden="false" customHeight="false" outlineLevel="0" collapsed="false">
      <c r="A82" s="18" t="s">
        <v>48</v>
      </c>
      <c r="B82" s="18" t="s">
        <v>207</v>
      </c>
      <c r="C82" s="18" t="n">
        <v>57.0570312211032</v>
      </c>
      <c r="D82" s="18" t="n">
        <v>56</v>
      </c>
      <c r="E82" s="18" t="n">
        <v>198</v>
      </c>
      <c r="F82" s="18" t="n">
        <v>7888.72326842708</v>
      </c>
      <c r="G82" s="18" t="s">
        <v>133</v>
      </c>
      <c r="H82" s="18" t="n">
        <v>31</v>
      </c>
      <c r="I82" s="18" t="n">
        <v>25</v>
      </c>
      <c r="J82" s="18" t="n">
        <v>20</v>
      </c>
      <c r="K82" s="18" t="n">
        <v>1</v>
      </c>
      <c r="L82" s="18" t="s">
        <v>57</v>
      </c>
      <c r="M82" s="18" t="n">
        <v>6.49632536429504</v>
      </c>
      <c r="N82" s="18" t="s">
        <v>67</v>
      </c>
      <c r="O82" s="18" t="s">
        <v>40</v>
      </c>
      <c r="P82" s="18" t="n">
        <v>5</v>
      </c>
      <c r="Q82" s="18" t="n">
        <v>228</v>
      </c>
      <c r="R82" s="18" t="n">
        <v>12</v>
      </c>
      <c r="S82" s="18" t="n">
        <v>57.8709029240363</v>
      </c>
      <c r="T82" s="19" t="s">
        <v>44</v>
      </c>
      <c r="U82" s="18" t="n">
        <v>0.165871627480608</v>
      </c>
      <c r="V82" s="18" t="s">
        <v>42</v>
      </c>
      <c r="W82" s="18" t="s">
        <v>95</v>
      </c>
      <c r="X82" s="18" t="n">
        <v>351.504219335039</v>
      </c>
    </row>
    <row r="83" customFormat="false" ht="15" hidden="false" customHeight="false" outlineLevel="0" collapsed="false">
      <c r="A83" s="16" t="s">
        <v>59</v>
      </c>
      <c r="B83" s="16" t="s">
        <v>208</v>
      </c>
      <c r="C83" s="16" t="n">
        <v>91.1283183504443</v>
      </c>
      <c r="D83" s="16" t="n">
        <v>75</v>
      </c>
      <c r="E83" s="16" t="n">
        <v>872</v>
      </c>
      <c r="F83" s="16" t="n">
        <v>8651.67268298207</v>
      </c>
      <c r="G83" s="16" t="s">
        <v>136</v>
      </c>
      <c r="H83" s="16" t="n">
        <v>39</v>
      </c>
      <c r="I83" s="16" t="n">
        <v>14</v>
      </c>
      <c r="J83" s="16" t="n">
        <v>41</v>
      </c>
      <c r="K83" s="16" t="n">
        <v>2</v>
      </c>
      <c r="L83" s="16" t="s">
        <v>68</v>
      </c>
      <c r="M83" s="16" t="n">
        <v>2.83318467941898</v>
      </c>
      <c r="N83" s="16" t="s">
        <v>67</v>
      </c>
      <c r="O83" s="16" t="s">
        <v>50</v>
      </c>
      <c r="P83" s="16" t="n">
        <v>8</v>
      </c>
      <c r="Q83" s="16" t="n">
        <v>202</v>
      </c>
      <c r="R83" s="16" t="n">
        <v>5</v>
      </c>
      <c r="S83" s="16" t="n">
        <v>76.96122802382</v>
      </c>
      <c r="T83" s="21" t="s">
        <v>54</v>
      </c>
      <c r="U83" s="16" t="n">
        <v>2.84966219850533</v>
      </c>
      <c r="V83" s="16" t="s">
        <v>73</v>
      </c>
      <c r="W83" s="16" t="s">
        <v>90</v>
      </c>
      <c r="X83" s="16" t="n">
        <v>787.779850494345</v>
      </c>
    </row>
    <row r="84" customFormat="false" ht="15" hidden="false" customHeight="false" outlineLevel="0" collapsed="false">
      <c r="A84" s="18" t="s">
        <v>48</v>
      </c>
      <c r="B84" s="18" t="s">
        <v>209</v>
      </c>
      <c r="C84" s="18" t="n">
        <v>72.8192069303182</v>
      </c>
      <c r="D84" s="18" t="n">
        <v>9</v>
      </c>
      <c r="E84" s="18" t="n">
        <v>774</v>
      </c>
      <c r="F84" s="18" t="n">
        <v>4384.41340004586</v>
      </c>
      <c r="G84" s="18" t="s">
        <v>136</v>
      </c>
      <c r="H84" s="18" t="n">
        <v>48</v>
      </c>
      <c r="I84" s="18" t="n">
        <v>6</v>
      </c>
      <c r="J84" s="18" t="n">
        <v>8</v>
      </c>
      <c r="K84" s="18" t="n">
        <v>5</v>
      </c>
      <c r="L84" s="18" t="s">
        <v>57</v>
      </c>
      <c r="M84" s="18" t="n">
        <v>4.06627750151204</v>
      </c>
      <c r="N84" s="18" t="s">
        <v>67</v>
      </c>
      <c r="O84" s="18" t="s">
        <v>61</v>
      </c>
      <c r="P84" s="18" t="n">
        <v>28</v>
      </c>
      <c r="Q84" s="18" t="n">
        <v>698</v>
      </c>
      <c r="R84" s="18" t="n">
        <v>1</v>
      </c>
      <c r="S84" s="18" t="n">
        <v>19.7895929419036</v>
      </c>
      <c r="T84" s="19" t="s">
        <v>44</v>
      </c>
      <c r="U84" s="18" t="n">
        <v>2.54754712154871</v>
      </c>
      <c r="V84" s="18" t="s">
        <v>52</v>
      </c>
      <c r="W84" s="18" t="s">
        <v>90</v>
      </c>
      <c r="X84" s="18" t="n">
        <v>276.778335946799</v>
      </c>
    </row>
    <row r="85" customFormat="false" ht="15" hidden="false" customHeight="false" outlineLevel="0" collapsed="false">
      <c r="A85" s="16" t="s">
        <v>59</v>
      </c>
      <c r="B85" s="16" t="s">
        <v>210</v>
      </c>
      <c r="C85" s="16" t="n">
        <v>17.0349307394679</v>
      </c>
      <c r="D85" s="16" t="n">
        <v>13</v>
      </c>
      <c r="E85" s="16" t="n">
        <v>336</v>
      </c>
      <c r="F85" s="16" t="n">
        <v>2943.38186760945</v>
      </c>
      <c r="G85" s="16" t="s">
        <v>136</v>
      </c>
      <c r="H85" s="16" t="n">
        <v>42</v>
      </c>
      <c r="I85" s="16" t="n">
        <v>19</v>
      </c>
      <c r="J85" s="16" t="n">
        <v>72</v>
      </c>
      <c r="K85" s="16" t="n">
        <v>1</v>
      </c>
      <c r="L85" s="16" t="s">
        <v>47</v>
      </c>
      <c r="M85" s="16" t="n">
        <v>4.70818187354193</v>
      </c>
      <c r="N85" s="16" t="s">
        <v>56</v>
      </c>
      <c r="O85" s="16" t="s">
        <v>76</v>
      </c>
      <c r="P85" s="16" t="n">
        <v>6</v>
      </c>
      <c r="Q85" s="16" t="n">
        <v>955</v>
      </c>
      <c r="R85" s="16" t="n">
        <v>26</v>
      </c>
      <c r="S85" s="16" t="n">
        <v>4.46527843494324</v>
      </c>
      <c r="T85" s="17" t="s">
        <v>44</v>
      </c>
      <c r="U85" s="16" t="n">
        <v>4.13787704862236</v>
      </c>
      <c r="V85" s="16" t="s">
        <v>63</v>
      </c>
      <c r="W85" s="16" t="s">
        <v>95</v>
      </c>
      <c r="X85" s="16" t="n">
        <v>589.978555628041</v>
      </c>
    </row>
    <row r="86" customFormat="false" ht="15" hidden="false" customHeight="false" outlineLevel="0" collapsed="false">
      <c r="A86" s="18" t="s">
        <v>48</v>
      </c>
      <c r="B86" s="18" t="s">
        <v>211</v>
      </c>
      <c r="C86" s="18" t="n">
        <v>68.9112462116063</v>
      </c>
      <c r="D86" s="18" t="n">
        <v>82</v>
      </c>
      <c r="E86" s="18" t="n">
        <v>663</v>
      </c>
      <c r="F86" s="18" t="n">
        <v>2411.75463211049</v>
      </c>
      <c r="G86" s="18" t="s">
        <v>136</v>
      </c>
      <c r="H86" s="18" t="n">
        <v>65</v>
      </c>
      <c r="I86" s="18" t="n">
        <v>24</v>
      </c>
      <c r="J86" s="18" t="n">
        <v>7</v>
      </c>
      <c r="K86" s="18" t="n">
        <v>8</v>
      </c>
      <c r="L86" s="18" t="s">
        <v>57</v>
      </c>
      <c r="M86" s="18" t="n">
        <v>4.94983957799695</v>
      </c>
      <c r="N86" s="18" t="s">
        <v>46</v>
      </c>
      <c r="O86" s="18" t="s">
        <v>40</v>
      </c>
      <c r="P86" s="18" t="n">
        <v>20</v>
      </c>
      <c r="Q86" s="18" t="n">
        <v>443</v>
      </c>
      <c r="R86" s="18" t="n">
        <v>5</v>
      </c>
      <c r="S86" s="18" t="n">
        <v>97.730593800533</v>
      </c>
      <c r="T86" s="20" t="s">
        <v>54</v>
      </c>
      <c r="U86" s="18" t="n">
        <v>0.773006134067248</v>
      </c>
      <c r="V86" s="18" t="s">
        <v>63</v>
      </c>
      <c r="W86" s="18" t="s">
        <v>85</v>
      </c>
      <c r="X86" s="18" t="n">
        <v>682.971018226093</v>
      </c>
    </row>
    <row r="87" customFormat="false" ht="15" hidden="false" customHeight="false" outlineLevel="0" collapsed="false">
      <c r="A87" s="16" t="s">
        <v>48</v>
      </c>
      <c r="B87" s="16" t="s">
        <v>212</v>
      </c>
      <c r="C87" s="16" t="n">
        <v>89.1043672921023</v>
      </c>
      <c r="D87" s="16" t="n">
        <v>99</v>
      </c>
      <c r="E87" s="16" t="n">
        <v>618</v>
      </c>
      <c r="F87" s="16" t="n">
        <v>2048.29009984871</v>
      </c>
      <c r="G87" s="16" t="s">
        <v>136</v>
      </c>
      <c r="H87" s="16" t="n">
        <v>73</v>
      </c>
      <c r="I87" s="16" t="n">
        <v>26</v>
      </c>
      <c r="J87" s="16" t="n">
        <v>80</v>
      </c>
      <c r="K87" s="16" t="n">
        <v>10</v>
      </c>
      <c r="L87" s="16" t="s">
        <v>47</v>
      </c>
      <c r="M87" s="16" t="n">
        <v>8.38161562492263</v>
      </c>
      <c r="N87" s="16" t="s">
        <v>78</v>
      </c>
      <c r="O87" s="16" t="s">
        <v>50</v>
      </c>
      <c r="P87" s="16" t="n">
        <v>24</v>
      </c>
      <c r="Q87" s="16" t="n">
        <v>589</v>
      </c>
      <c r="R87" s="16" t="n">
        <v>22</v>
      </c>
      <c r="S87" s="16" t="n">
        <v>33.8086365132091</v>
      </c>
      <c r="T87" s="22" t="s">
        <v>65</v>
      </c>
      <c r="U87" s="16" t="n">
        <v>4.84345657711804</v>
      </c>
      <c r="V87" s="16" t="s">
        <v>42</v>
      </c>
      <c r="W87" s="16" t="s">
        <v>90</v>
      </c>
      <c r="X87" s="16" t="n">
        <v>465.457005963688</v>
      </c>
    </row>
    <row r="88" customFormat="false" ht="15" hidden="false" customHeight="false" outlineLevel="0" collapsed="false">
      <c r="A88" s="18" t="s">
        <v>38</v>
      </c>
      <c r="B88" s="18" t="s">
        <v>213</v>
      </c>
      <c r="C88" s="18" t="n">
        <v>76.9629944151939</v>
      </c>
      <c r="D88" s="18" t="n">
        <v>83</v>
      </c>
      <c r="E88" s="18" t="n">
        <v>25</v>
      </c>
      <c r="F88" s="18" t="n">
        <v>8684.61305925386</v>
      </c>
      <c r="G88" s="18" t="s">
        <v>135</v>
      </c>
      <c r="H88" s="18" t="n">
        <v>15</v>
      </c>
      <c r="I88" s="18" t="n">
        <v>18</v>
      </c>
      <c r="J88" s="18" t="n">
        <v>66</v>
      </c>
      <c r="K88" s="18" t="n">
        <v>2</v>
      </c>
      <c r="L88" s="18" t="s">
        <v>68</v>
      </c>
      <c r="M88" s="18" t="n">
        <v>8.24916870487173</v>
      </c>
      <c r="N88" s="18" t="s">
        <v>78</v>
      </c>
      <c r="O88" s="18" t="s">
        <v>50</v>
      </c>
      <c r="P88" s="18" t="n">
        <v>4</v>
      </c>
      <c r="Q88" s="18" t="n">
        <v>211</v>
      </c>
      <c r="R88" s="18" t="n">
        <v>2</v>
      </c>
      <c r="S88" s="18" t="n">
        <v>69.9293455186723</v>
      </c>
      <c r="T88" s="20" t="s">
        <v>54</v>
      </c>
      <c r="U88" s="18" t="n">
        <v>1.37442899974576</v>
      </c>
      <c r="V88" s="18" t="s">
        <v>63</v>
      </c>
      <c r="W88" s="18" t="s">
        <v>90</v>
      </c>
      <c r="X88" s="18" t="n">
        <v>842.686830004642</v>
      </c>
    </row>
    <row r="89" customFormat="false" ht="15" hidden="false" customHeight="false" outlineLevel="0" collapsed="false">
      <c r="A89" s="16" t="s">
        <v>59</v>
      </c>
      <c r="B89" s="16" t="s">
        <v>214</v>
      </c>
      <c r="C89" s="16" t="n">
        <v>19.9981769404042</v>
      </c>
      <c r="D89" s="16" t="n">
        <v>18</v>
      </c>
      <c r="E89" s="16" t="n">
        <v>223</v>
      </c>
      <c r="F89" s="16" t="n">
        <v>1229.59102856498</v>
      </c>
      <c r="G89" s="16" t="s">
        <v>136</v>
      </c>
      <c r="H89" s="16" t="n">
        <v>32</v>
      </c>
      <c r="I89" s="16" t="n">
        <v>14</v>
      </c>
      <c r="J89" s="16" t="n">
        <v>22</v>
      </c>
      <c r="K89" s="16" t="n">
        <v>6</v>
      </c>
      <c r="L89" s="16" t="s">
        <v>57</v>
      </c>
      <c r="M89" s="16" t="n">
        <v>1.45430531015355</v>
      </c>
      <c r="N89" s="16" t="s">
        <v>46</v>
      </c>
      <c r="O89" s="16" t="s">
        <v>76</v>
      </c>
      <c r="P89" s="16" t="n">
        <v>4</v>
      </c>
      <c r="Q89" s="16" t="n">
        <v>569</v>
      </c>
      <c r="R89" s="16" t="n">
        <v>18</v>
      </c>
      <c r="S89" s="16" t="n">
        <v>74.6089699951947</v>
      </c>
      <c r="T89" s="22" t="s">
        <v>65</v>
      </c>
      <c r="U89" s="16" t="n">
        <v>2.05151293076625</v>
      </c>
      <c r="V89" s="16" t="s">
        <v>52</v>
      </c>
      <c r="W89" s="16" t="s">
        <v>85</v>
      </c>
      <c r="X89" s="16" t="n">
        <v>264.254889835867</v>
      </c>
    </row>
    <row r="90" customFormat="false" ht="15" hidden="false" customHeight="false" outlineLevel="0" collapsed="false">
      <c r="A90" s="18" t="s">
        <v>48</v>
      </c>
      <c r="B90" s="18" t="s">
        <v>215</v>
      </c>
      <c r="C90" s="18" t="n">
        <v>80.4140366503557</v>
      </c>
      <c r="D90" s="18" t="n">
        <v>24</v>
      </c>
      <c r="E90" s="18" t="n">
        <v>79</v>
      </c>
      <c r="F90" s="18" t="n">
        <v>5133.84670108669</v>
      </c>
      <c r="G90" s="18" t="s">
        <v>141</v>
      </c>
      <c r="H90" s="18" t="n">
        <v>5</v>
      </c>
      <c r="I90" s="18" t="n">
        <v>7</v>
      </c>
      <c r="J90" s="18" t="n">
        <v>55</v>
      </c>
      <c r="K90" s="18" t="n">
        <v>10</v>
      </c>
      <c r="L90" s="18" t="s">
        <v>47</v>
      </c>
      <c r="M90" s="18" t="n">
        <v>6.57580379754854</v>
      </c>
      <c r="N90" s="18" t="s">
        <v>67</v>
      </c>
      <c r="O90" s="18" t="s">
        <v>50</v>
      </c>
      <c r="P90" s="18" t="n">
        <v>27</v>
      </c>
      <c r="Q90" s="18" t="n">
        <v>523</v>
      </c>
      <c r="R90" s="18" t="n">
        <v>17</v>
      </c>
      <c r="S90" s="18" t="n">
        <v>28.6969968241432</v>
      </c>
      <c r="T90" s="20" t="s">
        <v>54</v>
      </c>
      <c r="U90" s="18" t="n">
        <v>3.69373778783928</v>
      </c>
      <c r="V90" s="18" t="s">
        <v>73</v>
      </c>
      <c r="W90" s="18" t="s">
        <v>90</v>
      </c>
      <c r="X90" s="18" t="n">
        <v>879.359217734924</v>
      </c>
    </row>
    <row r="91" customFormat="false" ht="15" hidden="false" customHeight="false" outlineLevel="0" collapsed="false">
      <c r="A91" s="16" t="s">
        <v>38</v>
      </c>
      <c r="B91" s="16" t="s">
        <v>105</v>
      </c>
      <c r="C91" s="16" t="n">
        <v>75.270406975725</v>
      </c>
      <c r="D91" s="16" t="n">
        <v>58</v>
      </c>
      <c r="E91" s="16" t="n">
        <v>737</v>
      </c>
      <c r="F91" s="16" t="n">
        <v>9444.74203306298</v>
      </c>
      <c r="G91" s="16" t="s">
        <v>141</v>
      </c>
      <c r="H91" s="16" t="n">
        <v>60</v>
      </c>
      <c r="I91" s="16" t="n">
        <v>18</v>
      </c>
      <c r="J91" s="16" t="n">
        <v>85</v>
      </c>
      <c r="K91" s="16" t="n">
        <v>7</v>
      </c>
      <c r="L91" s="16" t="s">
        <v>47</v>
      </c>
      <c r="M91" s="16" t="n">
        <v>3.80125313293108</v>
      </c>
      <c r="N91" s="16" t="s">
        <v>56</v>
      </c>
      <c r="O91" s="16" t="s">
        <v>76</v>
      </c>
      <c r="P91" s="16" t="n">
        <v>21</v>
      </c>
      <c r="Q91" s="16" t="n">
        <v>953</v>
      </c>
      <c r="R91" s="16" t="n">
        <v>11</v>
      </c>
      <c r="S91" s="16" t="n">
        <v>68.1849190570412</v>
      </c>
      <c r="T91" s="17" t="s">
        <v>44</v>
      </c>
      <c r="U91" s="16" t="n">
        <v>0.722204401882931</v>
      </c>
      <c r="V91" s="16" t="s">
        <v>73</v>
      </c>
      <c r="W91" s="16" t="s">
        <v>85</v>
      </c>
      <c r="X91" s="16" t="n">
        <v>103.916247960705</v>
      </c>
    </row>
    <row r="92" customFormat="false" ht="15" hidden="false" customHeight="false" outlineLevel="0" collapsed="false">
      <c r="A92" s="18" t="s">
        <v>38</v>
      </c>
      <c r="B92" s="18" t="s">
        <v>216</v>
      </c>
      <c r="C92" s="18" t="n">
        <v>97.7600855819387</v>
      </c>
      <c r="D92" s="18" t="n">
        <v>10</v>
      </c>
      <c r="E92" s="18" t="n">
        <v>134</v>
      </c>
      <c r="F92" s="18" t="n">
        <v>5924.68256685323</v>
      </c>
      <c r="G92" s="18" t="s">
        <v>136</v>
      </c>
      <c r="H92" s="18" t="n">
        <v>90</v>
      </c>
      <c r="I92" s="18" t="n">
        <v>1</v>
      </c>
      <c r="J92" s="18" t="n">
        <v>27</v>
      </c>
      <c r="K92" s="18" t="n">
        <v>8</v>
      </c>
      <c r="L92" s="18" t="s">
        <v>57</v>
      </c>
      <c r="M92" s="18" t="n">
        <v>9.92981624527726</v>
      </c>
      <c r="N92" s="18" t="s">
        <v>46</v>
      </c>
      <c r="O92" s="18" t="s">
        <v>71</v>
      </c>
      <c r="P92" s="18" t="n">
        <v>23</v>
      </c>
      <c r="Q92" s="18" t="n">
        <v>370</v>
      </c>
      <c r="R92" s="18" t="n">
        <v>11</v>
      </c>
      <c r="S92" s="18" t="n">
        <v>46.6038733816445</v>
      </c>
      <c r="T92" s="19" t="s">
        <v>44</v>
      </c>
      <c r="U92" s="18" t="n">
        <v>1.90766573395907</v>
      </c>
      <c r="V92" s="18" t="s">
        <v>52</v>
      </c>
      <c r="W92" s="18" t="s">
        <v>90</v>
      </c>
      <c r="X92" s="18" t="n">
        <v>517.499973929061</v>
      </c>
    </row>
    <row r="93" customFormat="false" ht="15" hidden="false" customHeight="false" outlineLevel="0" collapsed="false">
      <c r="A93" s="16" t="s">
        <v>59</v>
      </c>
      <c r="B93" s="16" t="s">
        <v>100</v>
      </c>
      <c r="C93" s="16" t="n">
        <v>13.8819135013591</v>
      </c>
      <c r="D93" s="16" t="n">
        <v>56</v>
      </c>
      <c r="E93" s="16" t="n">
        <v>320</v>
      </c>
      <c r="F93" s="16" t="n">
        <v>9592.63357028031</v>
      </c>
      <c r="G93" s="16" t="s">
        <v>133</v>
      </c>
      <c r="H93" s="16" t="n">
        <v>66</v>
      </c>
      <c r="I93" s="16" t="n">
        <v>18</v>
      </c>
      <c r="J93" s="16" t="n">
        <v>96</v>
      </c>
      <c r="K93" s="16" t="n">
        <v>7</v>
      </c>
      <c r="L93" s="16" t="s">
        <v>57</v>
      </c>
      <c r="M93" s="16" t="n">
        <v>7.67443070811269</v>
      </c>
      <c r="N93" s="16" t="s">
        <v>67</v>
      </c>
      <c r="O93" s="16" t="s">
        <v>40</v>
      </c>
      <c r="P93" s="16" t="n">
        <v>8</v>
      </c>
      <c r="Q93" s="16" t="n">
        <v>585</v>
      </c>
      <c r="R93" s="16" t="n">
        <v>8</v>
      </c>
      <c r="S93" s="16" t="n">
        <v>85.675963335798</v>
      </c>
      <c r="T93" s="22" t="s">
        <v>65</v>
      </c>
      <c r="U93" s="16" t="n">
        <v>1.21938222440139</v>
      </c>
      <c r="V93" s="16" t="s">
        <v>52</v>
      </c>
      <c r="W93" s="16" t="s">
        <v>90</v>
      </c>
      <c r="X93" s="16" t="n">
        <v>990.078472505811</v>
      </c>
    </row>
    <row r="94" customFormat="false" ht="15" hidden="false" customHeight="false" outlineLevel="0" collapsed="false">
      <c r="A94" s="18" t="s">
        <v>38</v>
      </c>
      <c r="B94" s="18" t="s">
        <v>217</v>
      </c>
      <c r="C94" s="18" t="n">
        <v>62.1119654639618</v>
      </c>
      <c r="D94" s="18" t="n">
        <v>90</v>
      </c>
      <c r="E94" s="18" t="n">
        <v>916</v>
      </c>
      <c r="F94" s="18" t="n">
        <v>1935.2067935076</v>
      </c>
      <c r="G94" s="18" t="s">
        <v>141</v>
      </c>
      <c r="H94" s="18" t="n">
        <v>98</v>
      </c>
      <c r="I94" s="18" t="n">
        <v>22</v>
      </c>
      <c r="J94" s="18" t="n">
        <v>85</v>
      </c>
      <c r="K94" s="18" t="n">
        <v>7</v>
      </c>
      <c r="L94" s="18" t="s">
        <v>57</v>
      </c>
      <c r="M94" s="18" t="n">
        <v>7.47151408440115</v>
      </c>
      <c r="N94" s="18" t="s">
        <v>75</v>
      </c>
      <c r="O94" s="18" t="s">
        <v>61</v>
      </c>
      <c r="P94" s="18" t="n">
        <v>5</v>
      </c>
      <c r="Q94" s="18" t="n">
        <v>207</v>
      </c>
      <c r="R94" s="18" t="n">
        <v>28</v>
      </c>
      <c r="S94" s="18" t="n">
        <v>39.77288250234</v>
      </c>
      <c r="T94" s="19" t="s">
        <v>44</v>
      </c>
      <c r="U94" s="18" t="n">
        <v>0.626001858209395</v>
      </c>
      <c r="V94" s="18" t="s">
        <v>52</v>
      </c>
      <c r="W94" s="18" t="s">
        <v>90</v>
      </c>
      <c r="X94" s="18" t="n">
        <v>996.778314950624</v>
      </c>
    </row>
    <row r="95" customFormat="false" ht="15" hidden="false" customHeight="false" outlineLevel="0" collapsed="false">
      <c r="A95" s="16" t="s">
        <v>38</v>
      </c>
      <c r="B95" s="16" t="s">
        <v>218</v>
      </c>
      <c r="C95" s="16" t="n">
        <v>47.7142330758202</v>
      </c>
      <c r="D95" s="16" t="n">
        <v>44</v>
      </c>
      <c r="E95" s="16" t="n">
        <v>276</v>
      </c>
      <c r="F95" s="16" t="n">
        <v>2100.12975462594</v>
      </c>
      <c r="G95" s="16" t="s">
        <v>141</v>
      </c>
      <c r="H95" s="16" t="n">
        <v>90</v>
      </c>
      <c r="I95" s="16" t="n">
        <v>25</v>
      </c>
      <c r="J95" s="16" t="n">
        <v>10</v>
      </c>
      <c r="K95" s="16" t="n">
        <v>8</v>
      </c>
      <c r="L95" s="16" t="s">
        <v>57</v>
      </c>
      <c r="M95" s="16" t="n">
        <v>4.4695000261236</v>
      </c>
      <c r="N95" s="16" t="s">
        <v>56</v>
      </c>
      <c r="O95" s="16" t="s">
        <v>76</v>
      </c>
      <c r="P95" s="16" t="n">
        <v>4</v>
      </c>
      <c r="Q95" s="16" t="n">
        <v>671</v>
      </c>
      <c r="R95" s="16" t="n">
        <v>29</v>
      </c>
      <c r="S95" s="16" t="n">
        <v>62.6126903956143</v>
      </c>
      <c r="T95" s="22" t="s">
        <v>65</v>
      </c>
      <c r="U95" s="16" t="n">
        <v>0.333431825224739</v>
      </c>
      <c r="V95" s="16" t="s">
        <v>52</v>
      </c>
      <c r="W95" s="16" t="s">
        <v>90</v>
      </c>
      <c r="X95" s="16" t="n">
        <v>230.092782536763</v>
      </c>
    </row>
    <row r="96" customFormat="false" ht="15" hidden="false" customHeight="false" outlineLevel="0" collapsed="false">
      <c r="A96" s="18" t="s">
        <v>48</v>
      </c>
      <c r="B96" s="18" t="s">
        <v>219</v>
      </c>
      <c r="C96" s="18" t="n">
        <v>69.2908310029055</v>
      </c>
      <c r="D96" s="18" t="n">
        <v>88</v>
      </c>
      <c r="E96" s="18" t="n">
        <v>114</v>
      </c>
      <c r="F96" s="18" t="n">
        <v>4531.40213369191</v>
      </c>
      <c r="G96" s="18" t="s">
        <v>136</v>
      </c>
      <c r="H96" s="18" t="n">
        <v>63</v>
      </c>
      <c r="I96" s="18" t="n">
        <v>17</v>
      </c>
      <c r="J96" s="18" t="n">
        <v>66</v>
      </c>
      <c r="K96" s="18" t="n">
        <v>1</v>
      </c>
      <c r="L96" s="18" t="s">
        <v>68</v>
      </c>
      <c r="M96" s="18" t="n">
        <v>7.00643205900439</v>
      </c>
      <c r="N96" s="18" t="s">
        <v>75</v>
      </c>
      <c r="O96" s="18" t="s">
        <v>50</v>
      </c>
      <c r="P96" s="18" t="n">
        <v>21</v>
      </c>
      <c r="Q96" s="18" t="n">
        <v>824</v>
      </c>
      <c r="R96" s="18" t="n">
        <v>20</v>
      </c>
      <c r="S96" s="18" t="n">
        <v>35.6336523433439</v>
      </c>
      <c r="T96" s="20" t="s">
        <v>54</v>
      </c>
      <c r="U96" s="18" t="n">
        <v>4.16578179542415</v>
      </c>
      <c r="V96" s="18" t="s">
        <v>42</v>
      </c>
      <c r="W96" s="18" t="s">
        <v>85</v>
      </c>
      <c r="X96" s="18" t="n">
        <v>823.523845888156</v>
      </c>
    </row>
    <row r="97" customFormat="false" ht="15" hidden="false" customHeight="false" outlineLevel="0" collapsed="false">
      <c r="A97" s="16" t="s">
        <v>38</v>
      </c>
      <c r="B97" s="16" t="s">
        <v>220</v>
      </c>
      <c r="C97" s="16" t="n">
        <v>3.03768872463141</v>
      </c>
      <c r="D97" s="16" t="n">
        <v>97</v>
      </c>
      <c r="E97" s="16" t="n">
        <v>987</v>
      </c>
      <c r="F97" s="16" t="n">
        <v>7888.35654666187</v>
      </c>
      <c r="G97" s="16" t="s">
        <v>136</v>
      </c>
      <c r="H97" s="16" t="n">
        <v>77</v>
      </c>
      <c r="I97" s="16" t="n">
        <v>26</v>
      </c>
      <c r="J97" s="16" t="n">
        <v>72</v>
      </c>
      <c r="K97" s="16" t="n">
        <v>9</v>
      </c>
      <c r="L97" s="16" t="s">
        <v>57</v>
      </c>
      <c r="M97" s="16" t="n">
        <v>6.94294594203258</v>
      </c>
      <c r="N97" s="16" t="s">
        <v>56</v>
      </c>
      <c r="O97" s="16" t="s">
        <v>61</v>
      </c>
      <c r="P97" s="16" t="n">
        <v>12</v>
      </c>
      <c r="Q97" s="16" t="n">
        <v>908</v>
      </c>
      <c r="R97" s="16" t="n">
        <v>14</v>
      </c>
      <c r="S97" s="16" t="n">
        <v>60.3873786148621</v>
      </c>
      <c r="T97" s="22" t="s">
        <v>65</v>
      </c>
      <c r="U97" s="16" t="n">
        <v>1.46360749847278</v>
      </c>
      <c r="V97" s="16" t="s">
        <v>52</v>
      </c>
      <c r="W97" s="16" t="s">
        <v>90</v>
      </c>
      <c r="X97" s="16" t="n">
        <v>846.665256986695</v>
      </c>
    </row>
    <row r="98" customFormat="false" ht="15" hidden="false" customHeight="false" outlineLevel="0" collapsed="false">
      <c r="A98" s="18" t="s">
        <v>48</v>
      </c>
      <c r="B98" s="18" t="s">
        <v>221</v>
      </c>
      <c r="C98" s="18" t="n">
        <v>77.9039272194478</v>
      </c>
      <c r="D98" s="18" t="n">
        <v>65</v>
      </c>
      <c r="E98" s="18" t="n">
        <v>672</v>
      </c>
      <c r="F98" s="18" t="n">
        <v>7386.36394404866</v>
      </c>
      <c r="G98" s="18" t="s">
        <v>136</v>
      </c>
      <c r="H98" s="18" t="n">
        <v>15</v>
      </c>
      <c r="I98" s="18" t="n">
        <v>14</v>
      </c>
      <c r="J98" s="18" t="n">
        <v>26</v>
      </c>
      <c r="K98" s="18" t="n">
        <v>9</v>
      </c>
      <c r="L98" s="18" t="s">
        <v>57</v>
      </c>
      <c r="M98" s="18" t="n">
        <v>8.63033886960275</v>
      </c>
      <c r="N98" s="18" t="s">
        <v>75</v>
      </c>
      <c r="O98" s="18" t="s">
        <v>76</v>
      </c>
      <c r="P98" s="18" t="n">
        <v>18</v>
      </c>
      <c r="Q98" s="18" t="n">
        <v>450</v>
      </c>
      <c r="R98" s="18" t="n">
        <v>26</v>
      </c>
      <c r="S98" s="18" t="n">
        <v>58.89068576859</v>
      </c>
      <c r="T98" s="19" t="s">
        <v>44</v>
      </c>
      <c r="U98" s="18" t="n">
        <v>1.21088212958507</v>
      </c>
      <c r="V98" s="18" t="s">
        <v>42</v>
      </c>
      <c r="W98" s="18" t="s">
        <v>85</v>
      </c>
      <c r="X98" s="18" t="n">
        <v>778.864241376648</v>
      </c>
    </row>
    <row r="99" customFormat="false" ht="15" hidden="false" customHeight="false" outlineLevel="0" collapsed="false">
      <c r="A99" s="16" t="s">
        <v>38</v>
      </c>
      <c r="B99" s="16" t="s">
        <v>222</v>
      </c>
      <c r="C99" s="16" t="n">
        <v>24.4231314203734</v>
      </c>
      <c r="D99" s="16" t="n">
        <v>29</v>
      </c>
      <c r="E99" s="16" t="n">
        <v>324</v>
      </c>
      <c r="F99" s="16" t="n">
        <v>7698.42476563212</v>
      </c>
      <c r="G99" s="16" t="s">
        <v>133</v>
      </c>
      <c r="H99" s="16" t="n">
        <v>67</v>
      </c>
      <c r="I99" s="16" t="n">
        <v>2</v>
      </c>
      <c r="J99" s="16" t="n">
        <v>32</v>
      </c>
      <c r="K99" s="16" t="n">
        <v>3</v>
      </c>
      <c r="L99" s="16" t="s">
        <v>68</v>
      </c>
      <c r="M99" s="16" t="n">
        <v>5.35287804399681</v>
      </c>
      <c r="N99" s="16" t="s">
        <v>67</v>
      </c>
      <c r="O99" s="16" t="s">
        <v>76</v>
      </c>
      <c r="P99" s="16" t="n">
        <v>28</v>
      </c>
      <c r="Q99" s="16" t="n">
        <v>648</v>
      </c>
      <c r="R99" s="16" t="n">
        <v>28</v>
      </c>
      <c r="S99" s="16" t="n">
        <v>17.8037563313913</v>
      </c>
      <c r="T99" s="17" t="s">
        <v>44</v>
      </c>
      <c r="U99" s="16" t="n">
        <v>3.87204768148213</v>
      </c>
      <c r="V99" s="16" t="s">
        <v>63</v>
      </c>
      <c r="W99" s="16" t="s">
        <v>85</v>
      </c>
      <c r="X99" s="16" t="n">
        <v>188.742141149057</v>
      </c>
    </row>
    <row r="100" customFormat="false" ht="15" hidden="false" customHeight="false" outlineLevel="0" collapsed="false">
      <c r="A100" s="18" t="s">
        <v>48</v>
      </c>
      <c r="B100" s="18" t="s">
        <v>223</v>
      </c>
      <c r="C100" s="18" t="n">
        <v>3.52611125914342</v>
      </c>
      <c r="D100" s="18" t="n">
        <v>56</v>
      </c>
      <c r="E100" s="18" t="n">
        <v>62</v>
      </c>
      <c r="F100" s="18" t="n">
        <v>4370.91657998454</v>
      </c>
      <c r="G100" s="18" t="s">
        <v>141</v>
      </c>
      <c r="H100" s="18" t="n">
        <v>46</v>
      </c>
      <c r="I100" s="18" t="n">
        <v>19</v>
      </c>
      <c r="J100" s="18" t="n">
        <v>4</v>
      </c>
      <c r="K100" s="18" t="n">
        <v>9</v>
      </c>
      <c r="L100" s="18" t="s">
        <v>47</v>
      </c>
      <c r="M100" s="18" t="n">
        <v>7.90484561120968</v>
      </c>
      <c r="N100" s="18" t="s">
        <v>75</v>
      </c>
      <c r="O100" s="18" t="s">
        <v>76</v>
      </c>
      <c r="P100" s="18" t="n">
        <v>10</v>
      </c>
      <c r="Q100" s="18" t="n">
        <v>535</v>
      </c>
      <c r="R100" s="18" t="n">
        <v>13</v>
      </c>
      <c r="S100" s="18" t="n">
        <v>65.7651559263675</v>
      </c>
      <c r="T100" s="20" t="s">
        <v>54</v>
      </c>
      <c r="U100" s="18" t="n">
        <v>3.37623783471798</v>
      </c>
      <c r="V100" s="18" t="s">
        <v>63</v>
      </c>
      <c r="W100" s="18" t="s">
        <v>85</v>
      </c>
      <c r="X100" s="18" t="n">
        <v>540.132422867968</v>
      </c>
    </row>
    <row r="101" customFormat="false" ht="15" hidden="false" customHeight="false" outlineLevel="0" collapsed="false">
      <c r="A101" s="16" t="s">
        <v>59</v>
      </c>
      <c r="B101" s="16" t="s">
        <v>224</v>
      </c>
      <c r="C101" s="16" t="n">
        <v>19.7546048668786</v>
      </c>
      <c r="D101" s="16" t="n">
        <v>43</v>
      </c>
      <c r="E101" s="16" t="n">
        <v>913</v>
      </c>
      <c r="F101" s="16" t="n">
        <v>8525.95255968353</v>
      </c>
      <c r="G101" s="16" t="s">
        <v>135</v>
      </c>
      <c r="H101" s="16" t="n">
        <v>53</v>
      </c>
      <c r="I101" s="16" t="n">
        <v>1</v>
      </c>
      <c r="J101" s="16" t="n">
        <v>27</v>
      </c>
      <c r="K101" s="16" t="n">
        <v>7</v>
      </c>
      <c r="L101" s="16" t="s">
        <v>57</v>
      </c>
      <c r="M101" s="16" t="n">
        <v>1.40980109513807</v>
      </c>
      <c r="N101" s="16" t="s">
        <v>78</v>
      </c>
      <c r="O101" s="16" t="s">
        <v>50</v>
      </c>
      <c r="P101" s="16" t="n">
        <v>28</v>
      </c>
      <c r="Q101" s="16" t="n">
        <v>581</v>
      </c>
      <c r="R101" s="16" t="n">
        <v>9</v>
      </c>
      <c r="S101" s="16" t="n">
        <v>5.60469086437178</v>
      </c>
      <c r="T101" s="17" t="s">
        <v>44</v>
      </c>
      <c r="U101" s="16" t="n">
        <v>2.90812216935126</v>
      </c>
      <c r="V101" s="16" t="s">
        <v>52</v>
      </c>
      <c r="W101" s="16" t="s">
        <v>85</v>
      </c>
      <c r="X101" s="16" t="n">
        <v>882.198863547042</v>
      </c>
    </row>
    <row r="102" customFormat="false" ht="15" hidden="false" customHeight="false" outlineLevel="0" collapsed="false">
      <c r="A102" s="18" t="s">
        <v>48</v>
      </c>
      <c r="B102" s="18" t="s">
        <v>225</v>
      </c>
      <c r="C102" s="18" t="n">
        <v>68.5178326992766</v>
      </c>
      <c r="D102" s="18" t="n">
        <v>17</v>
      </c>
      <c r="E102" s="18" t="n">
        <v>627</v>
      </c>
      <c r="F102" s="18" t="n">
        <v>9185.1858291817</v>
      </c>
      <c r="G102" s="18" t="s">
        <v>136</v>
      </c>
      <c r="H102" s="18" t="n">
        <v>55</v>
      </c>
      <c r="I102" s="18" t="n">
        <v>8</v>
      </c>
      <c r="J102" s="18" t="n">
        <v>59</v>
      </c>
      <c r="K102" s="18" t="n">
        <v>6</v>
      </c>
      <c r="L102" s="18" t="s">
        <v>57</v>
      </c>
      <c r="M102" s="18" t="n">
        <v>1.31102375612062</v>
      </c>
      <c r="N102" s="18" t="s">
        <v>56</v>
      </c>
      <c r="O102" s="18" t="s">
        <v>50</v>
      </c>
      <c r="P102" s="18" t="n">
        <v>29</v>
      </c>
      <c r="Q102" s="18" t="n">
        <v>921</v>
      </c>
      <c r="R102" s="18" t="n">
        <v>2</v>
      </c>
      <c r="S102" s="18" t="n">
        <v>38.072898520626</v>
      </c>
      <c r="T102" s="20" t="s">
        <v>54</v>
      </c>
      <c r="U102" s="18" t="n">
        <v>0.346027290705503</v>
      </c>
      <c r="V102" s="18" t="s">
        <v>52</v>
      </c>
      <c r="W102" s="18" t="s">
        <v>90</v>
      </c>
      <c r="X102" s="18" t="n">
        <v>210.743008964246</v>
      </c>
    </row>
  </sheetData>
  <mergeCells count="1">
    <mergeCell ref="A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2026-05-22T12:01:03Z</dcterms:created>
  <dc:creator>openpyxl</dc:creator>
  <dc:description/>
  <dc:language>en-US</dc:language>
  <cp:lastModifiedBy/>
  <dcterms:modified xsi:type="dcterms:W3CDTF">2026-05-22T12:01:11Z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